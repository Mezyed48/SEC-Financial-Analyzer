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s" sheetId="3" state="visible" r:id="rId3"/>
    <sheet xmlns:r="http://schemas.openxmlformats.org/officeDocument/2006/relationships" name="Sentiment Analysis" sheetId="4" state="visible" r:id="rId4"/>
    <sheet xmlns:r="http://schemas.openxmlformats.org/officeDocument/2006/relationships" name="Stock Prices" sheetId="5" state="visible" r:id="rId5"/>
    <sheet xmlns:r="http://schemas.openxmlformats.org/officeDocument/2006/relationships" name="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#,##0.00;(#,##0.00);&quot;-&quot;"/>
    <numFmt numFmtId="166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97D"/>
      <sz val="11"/>
    </font>
    <font>
      <name val="Calibri"/>
      <color rgb="00333333"/>
      <sz val="9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5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Price vs. MD&amp;A Sentiment P/N Ratio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'Analysis'!$A$5:$A$14</f>
            </numRef>
          </cat>
          <val>
            <numRef>
              <f>'Analysis'!$P$5:$P$14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'Analysis'!O4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'Analysis'!$O$5:$O$14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Price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P/N Ratio</a:t>
                </a:r>
              </a:p>
            </rich>
          </tx>
        </title>
        <numFmt formatCode="0.0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TESLA, INC. - INCOME STATEMENT</t>
        </is>
      </c>
    </row>
    <row r="2">
      <c r="A2" s="2" t="inlineStr">
        <is>
          <t>Scale / Reporting Currency: (in millions, except per share data)</t>
        </is>
      </c>
    </row>
    <row r="4">
      <c r="A4" s="3" t="inlineStr">
        <is>
          <t>Line Item / Account</t>
        </is>
      </c>
      <c r="B4" s="4" t="inlineStr">
        <is>
          <t>2025</t>
        </is>
      </c>
      <c r="C4" s="4" t="inlineStr">
        <is>
          <t>2024</t>
        </is>
      </c>
      <c r="D4" s="4" t="inlineStr">
        <is>
          <t>2023</t>
        </is>
      </c>
      <c r="E4" s="4" t="inlineStr">
        <is>
          <t>2022</t>
        </is>
      </c>
      <c r="F4" s="4" t="inlineStr">
        <is>
          <t>2021</t>
        </is>
      </c>
      <c r="G4" s="4" t="inlineStr">
        <is>
          <t>2020</t>
        </is>
      </c>
      <c r="H4" s="4" t="inlineStr">
        <is>
          <t>2019</t>
        </is>
      </c>
      <c r="I4" s="4" t="inlineStr">
        <is>
          <t>2018</t>
        </is>
      </c>
      <c r="J4" s="4" t="inlineStr">
        <is>
          <t>2017</t>
        </is>
      </c>
      <c r="K4" s="4" t="inlineStr">
        <is>
          <t>2016</t>
        </is>
      </c>
    </row>
    <row r="5">
      <c r="A5" s="5" t="inlineStr">
        <is>
          <t>Revenues</t>
        </is>
      </c>
    </row>
    <row r="6">
      <c r="A6" s="6" t="inlineStr">
        <is>
          <t>Automotive sales</t>
        </is>
      </c>
      <c r="B6" s="7" t="n">
        <v>65821</v>
      </c>
      <c r="C6" s="7" t="n">
        <v>72480</v>
      </c>
      <c r="D6" s="7" t="n">
        <v>78509</v>
      </c>
      <c r="E6" s="7" t="n">
        <v>67210</v>
      </c>
      <c r="F6" s="7" t="n">
        <v>44125</v>
      </c>
      <c r="G6" s="7" t="n">
        <v>24604</v>
      </c>
      <c r="H6" s="7" t="n">
        <v>19358</v>
      </c>
      <c r="I6" s="7" t="n">
        <v>17632</v>
      </c>
      <c r="J6" s="7" t="n">
        <v>8535</v>
      </c>
      <c r="K6" s="7" t="n">
        <v>5589</v>
      </c>
    </row>
    <row r="7">
      <c r="A7" s="6" t="inlineStr">
        <is>
          <t>Automotive regulatory credits</t>
        </is>
      </c>
      <c r="B7" s="7" t="n">
        <v>1993</v>
      </c>
      <c r="C7" s="7" t="n">
        <v>2763</v>
      </c>
      <c r="D7" s="7" t="n">
        <v>1790</v>
      </c>
      <c r="E7" s="7" t="n">
        <v>1776</v>
      </c>
      <c r="F7" s="7" t="n">
        <v>1465</v>
      </c>
      <c r="G7" s="7" t="n">
        <v>1580</v>
      </c>
      <c r="H7" s="7" t="n">
        <v>594</v>
      </c>
    </row>
    <row r="8">
      <c r="A8" s="6" t="inlineStr">
        <is>
          <t>Automotive leasing</t>
        </is>
      </c>
      <c r="B8" s="7" t="n">
        <v>1712</v>
      </c>
      <c r="C8" s="7" t="n">
        <v>1827</v>
      </c>
      <c r="D8" s="7" t="n">
        <v>2120</v>
      </c>
      <c r="E8" s="7" t="n">
        <v>2476</v>
      </c>
      <c r="F8" s="7" t="n">
        <v>1642</v>
      </c>
      <c r="G8" s="7" t="n">
        <v>1052</v>
      </c>
      <c r="H8" s="7" t="n">
        <v>869</v>
      </c>
      <c r="I8" s="7" t="n">
        <v>883</v>
      </c>
      <c r="J8" s="7" t="n">
        <v>1107</v>
      </c>
      <c r="K8" s="7" t="n">
        <v>762</v>
      </c>
    </row>
    <row r="9">
      <c r="A9" s="6" t="inlineStr">
        <is>
          <t>Total automotive revenues</t>
        </is>
      </c>
      <c r="B9" s="7" t="n">
        <v>69526</v>
      </c>
      <c r="C9" s="7" t="n">
        <v>77070</v>
      </c>
      <c r="D9" s="7" t="n">
        <v>82419</v>
      </c>
      <c r="E9" s="7" t="n">
        <v>71462</v>
      </c>
      <c r="F9" s="7" t="n">
        <v>47232</v>
      </c>
      <c r="G9" s="7" t="n">
        <v>27236</v>
      </c>
      <c r="H9" s="7" t="n">
        <v>20821</v>
      </c>
      <c r="I9" s="7" t="n">
        <v>18515</v>
      </c>
      <c r="J9" s="7" t="n">
        <v>9642</v>
      </c>
      <c r="K9" s="7" t="n">
        <v>6351</v>
      </c>
    </row>
    <row r="10">
      <c r="A10" s="6" t="inlineStr">
        <is>
          <t>Energy generation and storage</t>
        </is>
      </c>
      <c r="B10" s="7" t="n">
        <v>12771</v>
      </c>
      <c r="C10" s="7" t="n">
        <v>10086</v>
      </c>
      <c r="D10" s="7" t="n">
        <v>6035</v>
      </c>
      <c r="E10" s="7" t="n">
        <v>3909</v>
      </c>
      <c r="F10" s="7" t="n">
        <v>2789</v>
      </c>
      <c r="G10" s="7" t="n">
        <v>1994</v>
      </c>
      <c r="H10" s="7" t="n">
        <v>1531</v>
      </c>
      <c r="I10" s="7" t="n">
        <v>1555</v>
      </c>
      <c r="J10" s="7" t="n">
        <v>1116</v>
      </c>
      <c r="K10" s="7" t="n">
        <v>181</v>
      </c>
    </row>
    <row r="11">
      <c r="A11" s="6" t="inlineStr">
        <is>
          <t>Services and other</t>
        </is>
      </c>
      <c r="B11" s="7" t="n">
        <v>12530</v>
      </c>
      <c r="C11" s="7" t="n">
        <v>10534</v>
      </c>
      <c r="D11" s="7" t="n">
        <v>8319</v>
      </c>
      <c r="E11" s="7" t="n">
        <v>6091</v>
      </c>
      <c r="F11" s="7" t="n">
        <v>3802</v>
      </c>
      <c r="G11" s="7" t="n">
        <v>2306</v>
      </c>
      <c r="H11" s="7" t="n">
        <v>2226</v>
      </c>
      <c r="I11" s="7" t="n">
        <v>1391</v>
      </c>
      <c r="J11" s="7" t="n">
        <v>1001</v>
      </c>
      <c r="K11" s="7" t="n">
        <v>468</v>
      </c>
    </row>
    <row r="12">
      <c r="A12" s="6" t="inlineStr">
        <is>
          <t>Total revenues</t>
        </is>
      </c>
      <c r="B12" s="7" t="n">
        <v>94827</v>
      </c>
      <c r="C12" s="7" t="n">
        <v>97690</v>
      </c>
      <c r="D12" s="7" t="n">
        <v>96773</v>
      </c>
      <c r="E12" s="7" t="n">
        <v>81462</v>
      </c>
      <c r="F12" s="7" t="n">
        <v>53823</v>
      </c>
      <c r="G12" s="7" t="n">
        <v>31536</v>
      </c>
      <c r="H12" s="7" t="n">
        <v>24578</v>
      </c>
      <c r="I12" s="7" t="n">
        <v>21461</v>
      </c>
      <c r="J12" s="7" t="n">
        <v>11759</v>
      </c>
      <c r="K12" s="7" t="n">
        <v>7000</v>
      </c>
    </row>
    <row r="13">
      <c r="A13" s="5" t="inlineStr">
        <is>
          <t>Cost of revenues</t>
        </is>
      </c>
    </row>
    <row r="14">
      <c r="A14" s="6" t="inlineStr">
        <is>
          <t>Automotive sales</t>
        </is>
      </c>
      <c r="B14" s="7" t="n">
        <v>56267</v>
      </c>
      <c r="C14" s="7" t="n">
        <v>61870</v>
      </c>
      <c r="D14" s="7" t="n">
        <v>65121</v>
      </c>
      <c r="E14" s="7" t="n">
        <v>49599</v>
      </c>
      <c r="F14" s="7" t="n">
        <v>32415</v>
      </c>
      <c r="G14" s="7" t="n">
        <v>19696</v>
      </c>
      <c r="H14" s="7" t="n">
        <v>15939</v>
      </c>
      <c r="I14" s="7" t="n">
        <v>13686</v>
      </c>
      <c r="J14" s="7" t="n">
        <v>6725</v>
      </c>
      <c r="K14" s="7" t="n">
        <v>4268</v>
      </c>
    </row>
    <row r="15">
      <c r="A15" s="6" t="inlineStr">
        <is>
          <t>Automotive leasing</t>
        </is>
      </c>
      <c r="B15" s="7" t="n">
        <v>898</v>
      </c>
      <c r="C15" s="7" t="n">
        <v>1003</v>
      </c>
      <c r="D15" s="7" t="n">
        <v>1268</v>
      </c>
      <c r="E15" s="7" t="n">
        <v>1509</v>
      </c>
      <c r="F15" s="7" t="n">
        <v>978</v>
      </c>
      <c r="G15" s="7" t="n">
        <v>563</v>
      </c>
      <c r="H15" s="7" t="n">
        <v>459</v>
      </c>
      <c r="I15" s="7" t="n">
        <v>488</v>
      </c>
      <c r="J15" s="7" t="n">
        <v>708</v>
      </c>
      <c r="K15" s="7" t="n">
        <v>482</v>
      </c>
    </row>
    <row r="16">
      <c r="A16" s="6" t="inlineStr">
        <is>
          <t>Total automotive cost of revenues</t>
        </is>
      </c>
      <c r="B16" s="7" t="n">
        <v>57165</v>
      </c>
      <c r="C16" s="7" t="n">
        <v>62873</v>
      </c>
      <c r="D16" s="7" t="n">
        <v>66389</v>
      </c>
      <c r="E16" s="7" t="n">
        <v>51108</v>
      </c>
      <c r="F16" s="7" t="n">
        <v>33393</v>
      </c>
      <c r="G16" s="7" t="n">
        <v>20259</v>
      </c>
      <c r="H16" s="7" t="n">
        <v>16398</v>
      </c>
      <c r="I16" s="7" t="n">
        <v>14174</v>
      </c>
      <c r="J16" s="7" t="n">
        <v>7433</v>
      </c>
      <c r="K16" s="7" t="n">
        <v>4750</v>
      </c>
    </row>
    <row r="17">
      <c r="A17" s="6" t="inlineStr">
        <is>
          <t>Energy generation and storage</t>
        </is>
      </c>
      <c r="B17" s="7" t="n">
        <v>8969</v>
      </c>
      <c r="C17" s="7" t="n">
        <v>7446</v>
      </c>
      <c r="D17" s="7" t="n">
        <v>4894</v>
      </c>
      <c r="E17" s="7" t="n">
        <v>3621</v>
      </c>
      <c r="F17" s="7" t="n">
        <v>2918</v>
      </c>
      <c r="G17" s="7" t="n">
        <v>1976</v>
      </c>
      <c r="H17" s="7" t="n">
        <v>1341</v>
      </c>
      <c r="I17" s="7" t="n">
        <v>1365</v>
      </c>
      <c r="J17" s="7" t="n">
        <v>874</v>
      </c>
      <c r="K17" s="7" t="n">
        <v>178</v>
      </c>
    </row>
    <row r="18">
      <c r="A18" s="6" t="inlineStr">
        <is>
          <t>Services and other</t>
        </is>
      </c>
      <c r="B18" s="7" t="n">
        <v>11599</v>
      </c>
      <c r="C18" s="7" t="n">
        <v>9921</v>
      </c>
      <c r="D18" s="7" t="n">
        <v>7830</v>
      </c>
      <c r="E18" s="7" t="n">
        <v>5880</v>
      </c>
      <c r="F18" s="7" t="n">
        <v>3906</v>
      </c>
      <c r="G18" s="7" t="n">
        <v>2671</v>
      </c>
      <c r="H18" s="7" t="n">
        <v>2770</v>
      </c>
      <c r="I18" s="7" t="n">
        <v>1880</v>
      </c>
      <c r="J18" s="7" t="n">
        <v>1229</v>
      </c>
      <c r="K18" s="7" t="n">
        <v>472</v>
      </c>
    </row>
    <row r="19">
      <c r="A19" s="6" t="inlineStr">
        <is>
          <t>Total cost of revenues</t>
        </is>
      </c>
      <c r="B19" s="7" t="n">
        <v>77733</v>
      </c>
      <c r="C19" s="7" t="n">
        <v>80240</v>
      </c>
      <c r="D19" s="7" t="n">
        <v>79113</v>
      </c>
      <c r="E19" s="7" t="n">
        <v>60609</v>
      </c>
      <c r="F19" s="7" t="n">
        <v>40217</v>
      </c>
      <c r="G19" s="7" t="n">
        <v>24906</v>
      </c>
      <c r="H19" s="7" t="n">
        <v>20509</v>
      </c>
      <c r="I19" s="7" t="n">
        <v>17419</v>
      </c>
      <c r="J19" s="7" t="n">
        <v>9536</v>
      </c>
      <c r="K19" s="7" t="n">
        <v>5401</v>
      </c>
    </row>
    <row r="20">
      <c r="A20" s="6" t="inlineStr">
        <is>
          <t>Gross profit</t>
        </is>
      </c>
      <c r="B20" s="7" t="n">
        <v>17094</v>
      </c>
      <c r="C20" s="7" t="n">
        <v>17450</v>
      </c>
      <c r="D20" s="7" t="n">
        <v>17660</v>
      </c>
      <c r="E20" s="7" t="n">
        <v>20853</v>
      </c>
      <c r="F20" s="7" t="n">
        <v>13606</v>
      </c>
      <c r="G20" s="7" t="n">
        <v>6630</v>
      </c>
      <c r="H20" s="7" t="n">
        <v>4069</v>
      </c>
      <c r="I20" s="7" t="n">
        <v>4042</v>
      </c>
      <c r="J20" s="7" t="n">
        <v>2223</v>
      </c>
      <c r="K20" s="7" t="n">
        <v>1599</v>
      </c>
    </row>
    <row r="21">
      <c r="A21" s="5" t="inlineStr">
        <is>
          <t>Operating expenses</t>
        </is>
      </c>
    </row>
    <row r="22">
      <c r="A22" s="6" t="inlineStr">
        <is>
          <t>Research and development</t>
        </is>
      </c>
      <c r="B22" s="7" t="n">
        <v>6411</v>
      </c>
      <c r="C22" s="7" t="n">
        <v>4540</v>
      </c>
      <c r="D22" s="7" t="n">
        <v>3969</v>
      </c>
      <c r="E22" s="7" t="n">
        <v>3075</v>
      </c>
      <c r="F22" s="7" t="n">
        <v>2593</v>
      </c>
      <c r="G22" s="7" t="n">
        <v>1491</v>
      </c>
      <c r="H22" s="7" t="n">
        <v>1343</v>
      </c>
      <c r="I22" s="7" t="n">
        <v>1460</v>
      </c>
      <c r="J22" s="7" t="n">
        <v>1378</v>
      </c>
      <c r="K22" s="7" t="n">
        <v>834</v>
      </c>
    </row>
    <row r="23">
      <c r="A23" s="6" t="inlineStr">
        <is>
          <t>Selling, general and administrative</t>
        </is>
      </c>
      <c r="B23" s="7" t="n">
        <v>5834</v>
      </c>
      <c r="C23" s="7" t="n">
        <v>5150</v>
      </c>
      <c r="D23" s="7" t="n">
        <v>4800</v>
      </c>
      <c r="E23" s="7" t="n">
        <v>3946</v>
      </c>
      <c r="F23" s="7" t="n">
        <v>4517</v>
      </c>
      <c r="G23" s="7" t="n">
        <v>3145</v>
      </c>
      <c r="H23" s="7" t="n">
        <v>2646</v>
      </c>
      <c r="I23" s="7" t="n">
        <v>2835</v>
      </c>
      <c r="J23" s="7" t="n">
        <v>2477</v>
      </c>
      <c r="K23" s="7" t="n">
        <v>1432</v>
      </c>
    </row>
    <row r="24">
      <c r="A24" s="6" t="inlineStr">
        <is>
          <t>Restructuring and other</t>
        </is>
      </c>
      <c r="B24" s="7" t="n">
        <v>494</v>
      </c>
      <c r="C24" s="7" t="n">
        <v>684</v>
      </c>
      <c r="D24" s="7" t="n">
        <v>0</v>
      </c>
      <c r="E24" s="7" t="n">
        <v>176</v>
      </c>
      <c r="F24" s="7" t="n">
        <v>-27</v>
      </c>
      <c r="G24" s="7" t="n">
        <v>0</v>
      </c>
      <c r="H24" s="7" t="n">
        <v>149</v>
      </c>
      <c r="I24" s="7" t="n">
        <v>135</v>
      </c>
      <c r="J24" s="7" t="n">
        <v>0</v>
      </c>
      <c r="K24" s="7" t="n">
        <v>0</v>
      </c>
    </row>
    <row r="25">
      <c r="A25" s="6" t="inlineStr">
        <is>
          <t>Total operating expenses</t>
        </is>
      </c>
      <c r="B25" s="7" t="n">
        <v>12739</v>
      </c>
      <c r="C25" s="7" t="n">
        <v>10374</v>
      </c>
      <c r="D25" s="7" t="n">
        <v>8769</v>
      </c>
      <c r="E25" s="7" t="n">
        <v>7197</v>
      </c>
      <c r="F25" s="7" t="n">
        <v>7083</v>
      </c>
      <c r="G25" s="7" t="n">
        <v>4636</v>
      </c>
      <c r="H25" s="7" t="n">
        <v>4138</v>
      </c>
      <c r="I25" s="7" t="n">
        <v>4430</v>
      </c>
      <c r="J25" s="7" t="n">
        <v>3855</v>
      </c>
      <c r="K25" s="7" t="n">
        <v>2267</v>
      </c>
    </row>
    <row r="26">
      <c r="A26" s="6" t="inlineStr">
        <is>
          <t>Income from operations</t>
        </is>
      </c>
      <c r="B26" s="7" t="n">
        <v>4355</v>
      </c>
      <c r="C26" s="7" t="n">
        <v>7076</v>
      </c>
      <c r="D26" s="7" t="n">
        <v>8891</v>
      </c>
      <c r="E26" s="7" t="n">
        <v>13656</v>
      </c>
      <c r="F26" s="7" t="n">
        <v>6523</v>
      </c>
      <c r="G26" s="7" t="n">
        <v>1994</v>
      </c>
      <c r="H26" s="7" t="n">
        <v>-69</v>
      </c>
      <c r="I26" s="7" t="n">
        <v>-388</v>
      </c>
      <c r="J26" s="7" t="n">
        <v>-1632</v>
      </c>
      <c r="K26" s="7" t="n">
        <v>-667</v>
      </c>
    </row>
    <row r="27">
      <c r="A27" s="6" t="inlineStr">
        <is>
          <t>Interest income</t>
        </is>
      </c>
      <c r="B27" s="7" t="n">
        <v>1680</v>
      </c>
      <c r="C27" s="7" t="n">
        <v>1569</v>
      </c>
      <c r="D27" s="7" t="n">
        <v>1066</v>
      </c>
      <c r="E27" s="7" t="n">
        <v>297</v>
      </c>
      <c r="F27" s="7" t="n">
        <v>56</v>
      </c>
      <c r="G27" s="7" t="n">
        <v>30</v>
      </c>
      <c r="H27" s="7" t="n">
        <v>44</v>
      </c>
      <c r="I27" s="7" t="n">
        <v>24</v>
      </c>
      <c r="J27" s="7" t="n">
        <v>19</v>
      </c>
      <c r="K27" s="7" t="n">
        <v>9</v>
      </c>
    </row>
    <row r="28">
      <c r="A28" s="6" t="inlineStr">
        <is>
          <t>Interest expense</t>
        </is>
      </c>
      <c r="B28" s="7" t="n">
        <v>-338</v>
      </c>
      <c r="C28" s="7" t="n">
        <v>-350</v>
      </c>
      <c r="D28" s="7" t="n">
        <v>-156</v>
      </c>
      <c r="E28" s="7" t="n">
        <v>-191</v>
      </c>
      <c r="F28" s="7" t="n">
        <v>-371</v>
      </c>
      <c r="G28" s="7" t="n">
        <v>-748</v>
      </c>
      <c r="H28" s="7" t="n">
        <v>-685</v>
      </c>
      <c r="I28" s="7" t="n">
        <v>-663</v>
      </c>
      <c r="J28" s="7" t="n">
        <v>-471</v>
      </c>
      <c r="K28" s="7" t="n">
        <v>-199</v>
      </c>
    </row>
    <row r="29">
      <c r="A29" s="6" t="inlineStr">
        <is>
          <t>Other (expense) income, net</t>
        </is>
      </c>
      <c r="B29" s="7" t="n">
        <v>-419</v>
      </c>
      <c r="C29" s="7" t="n">
        <v>695</v>
      </c>
      <c r="D29" s="7" t="n">
        <v>172</v>
      </c>
      <c r="E29" s="7" t="n">
        <v>-43</v>
      </c>
      <c r="F29" s="7" t="n">
        <v>135</v>
      </c>
      <c r="G29" s="7" t="n">
        <v>-122</v>
      </c>
      <c r="H29" s="7" t="n">
        <v>45</v>
      </c>
      <c r="I29" s="7" t="n">
        <v>22</v>
      </c>
      <c r="J29" s="7" t="n">
        <v>-125</v>
      </c>
      <c r="K29" s="7" t="n">
        <v>111</v>
      </c>
    </row>
    <row r="30">
      <c r="A30" s="6" t="inlineStr">
        <is>
          <t>Income before income taxes</t>
        </is>
      </c>
      <c r="B30" s="7" t="n">
        <v>5278</v>
      </c>
      <c r="C30" s="7" t="n">
        <v>8990</v>
      </c>
      <c r="D30" s="7" t="n">
        <v>9973</v>
      </c>
      <c r="E30" s="7" t="n">
        <v>13719</v>
      </c>
      <c r="F30" s="7" t="n">
        <v>6343</v>
      </c>
      <c r="G30" s="7" t="n">
        <v>1154</v>
      </c>
      <c r="H30" s="7" t="n">
        <v>-665</v>
      </c>
      <c r="I30" s="7" t="n">
        <v>-1005</v>
      </c>
      <c r="J30" s="7" t="n">
        <v>-2209</v>
      </c>
      <c r="K30" s="7" t="n">
        <v>-746</v>
      </c>
    </row>
    <row r="31">
      <c r="A31" s="6" t="inlineStr">
        <is>
          <t>Net loss attributable to noncontrolling interests andredeemable noncontrolling interests in subsidiaries</t>
        </is>
      </c>
      <c r="I31" s="7" t="n">
        <v>-86</v>
      </c>
      <c r="J31" s="7" t="n">
        <v>-279</v>
      </c>
      <c r="K31" s="7" t="n">
        <v>-98</v>
      </c>
    </row>
    <row r="32">
      <c r="A32" s="6" t="inlineStr">
        <is>
          <t>Net loss per share of common stock attributable to common stockholders,basic and diluted</t>
        </is>
      </c>
      <c r="K32" s="8" t="n">
        <v>-4.68</v>
      </c>
    </row>
    <row r="33">
      <c r="A33" s="6" t="inlineStr">
        <is>
          <t>Weighted average shares used in computing net loss per share ofcommon stock, basic and diluted</t>
        </is>
      </c>
      <c r="K33" s="8" t="n">
        <v>144212</v>
      </c>
    </row>
    <row r="34">
      <c r="A34" s="5" t="inlineStr">
        <is>
          <t>Weighted average shares used in computing net lossper share of common stock</t>
        </is>
      </c>
    </row>
    <row r="35">
      <c r="A35" s="6" t="inlineStr">
        <is>
          <t>Basic</t>
        </is>
      </c>
      <c r="I35" s="7" t="n">
        <v>170525</v>
      </c>
      <c r="J35" s="7" t="n">
        <v>165758</v>
      </c>
      <c r="K35" s="7" t="n">
        <v>144212</v>
      </c>
    </row>
    <row r="36">
      <c r="A36" s="6" t="inlineStr">
        <is>
          <t>Diluted</t>
        </is>
      </c>
      <c r="I36" s="7" t="n">
        <v>170525</v>
      </c>
      <c r="J36" s="7" t="n">
        <v>165758</v>
      </c>
      <c r="K36" s="7" t="n">
        <v>144212</v>
      </c>
    </row>
    <row r="37">
      <c r="A37" s="5" t="inlineStr">
        <is>
          <t>Weighted average shares used in computing net loss pershare of common stock</t>
        </is>
      </c>
    </row>
    <row r="38">
      <c r="A38" s="6" t="inlineStr">
        <is>
          <t>Less: Buy-out of noncontrolling interest</t>
        </is>
      </c>
      <c r="G38" s="7" t="n">
        <v>31</v>
      </c>
      <c r="H38" s="7" t="n">
        <v>8</v>
      </c>
      <c r="I38" s="7" t="n">
        <v>0</v>
      </c>
    </row>
    <row r="39">
      <c r="A39" s="6" t="inlineStr">
        <is>
          <t>Net income (loss) used in computing netincome (loss) per share of common stock</t>
        </is>
      </c>
      <c r="G39" s="8" t="n">
        <v>690</v>
      </c>
      <c r="H39" s="8" t="n">
        <v>-870</v>
      </c>
      <c r="I39" s="8" t="n">
        <v>-976</v>
      </c>
    </row>
    <row r="40">
      <c r="A40" s="5" t="inlineStr">
        <is>
          <t>Net income (loss) per share of common stockattributable to common stockholders</t>
        </is>
      </c>
    </row>
    <row r="41">
      <c r="A41" s="6" t="inlineStr">
        <is>
          <t>Basic</t>
        </is>
      </c>
      <c r="F41" s="7" t="n">
        <v>5.6</v>
      </c>
      <c r="G41" s="7" t="n">
        <v>0.74</v>
      </c>
      <c r="H41" s="7" t="n">
        <v>-0.98</v>
      </c>
      <c r="I41" s="7" t="n">
        <v>-1.14</v>
      </c>
    </row>
    <row r="42">
      <c r="A42" s="6" t="inlineStr">
        <is>
          <t>Diluted</t>
        </is>
      </c>
      <c r="F42" s="7" t="n">
        <v>4.9</v>
      </c>
      <c r="G42" s="7" t="n">
        <v>0.64</v>
      </c>
      <c r="H42" s="7" t="n">
        <v>-0.98</v>
      </c>
      <c r="I42" s="7" t="n">
        <v>-1.14</v>
      </c>
    </row>
    <row r="43">
      <c r="A43" s="5" t="inlineStr">
        <is>
          <t>Weighted average shares used in computing netincome (loss) per share of common stock</t>
        </is>
      </c>
    </row>
    <row r="44">
      <c r="A44" s="6" t="inlineStr">
        <is>
          <t>Basic</t>
        </is>
      </c>
      <c r="F44" s="7" t="n">
        <v>986</v>
      </c>
      <c r="G44" s="7" t="n">
        <v>933</v>
      </c>
      <c r="H44" s="7" t="n">
        <v>887</v>
      </c>
      <c r="I44" s="7" t="n">
        <v>853</v>
      </c>
    </row>
    <row r="45">
      <c r="A45" s="6" t="inlineStr">
        <is>
          <t>Diluted</t>
        </is>
      </c>
      <c r="F45" s="7" t="n">
        <v>1129</v>
      </c>
      <c r="G45" s="7" t="n">
        <v>1083</v>
      </c>
      <c r="H45" s="7" t="n">
        <v>887</v>
      </c>
      <c r="I45" s="7" t="n">
        <v>853</v>
      </c>
    </row>
    <row r="46">
      <c r="A46" s="6" t="inlineStr">
        <is>
          <t>Provision for (benefit from) income taxes</t>
        </is>
      </c>
      <c r="B46" s="7" t="n">
        <v>1423</v>
      </c>
      <c r="C46" s="7" t="n">
        <v>1837</v>
      </c>
      <c r="D46" s="7" t="n">
        <v>-5001</v>
      </c>
      <c r="E46" s="7" t="n">
        <v>1132</v>
      </c>
      <c r="F46" s="7" t="n">
        <v>699</v>
      </c>
      <c r="G46" s="7" t="n">
        <v>292</v>
      </c>
      <c r="H46" s="7" t="n">
        <v>110</v>
      </c>
      <c r="I46" s="7" t="n">
        <v>58</v>
      </c>
      <c r="J46" s="7" t="n">
        <v>32</v>
      </c>
      <c r="K46" s="7" t="n">
        <v>27</v>
      </c>
    </row>
    <row r="47">
      <c r="A47" s="6" t="inlineStr">
        <is>
          <t>Net income</t>
        </is>
      </c>
      <c r="B47" s="7" t="n">
        <v>3855</v>
      </c>
      <c r="C47" s="7" t="n">
        <v>7153</v>
      </c>
      <c r="D47" s="7" t="n">
        <v>14974</v>
      </c>
      <c r="E47" s="7" t="n">
        <v>12587</v>
      </c>
      <c r="F47" s="7" t="n">
        <v>5644</v>
      </c>
      <c r="G47" s="7" t="n">
        <v>862</v>
      </c>
      <c r="H47" s="7" t="n">
        <v>-775</v>
      </c>
      <c r="I47" s="7" t="n">
        <v>-1063</v>
      </c>
      <c r="J47" s="7" t="n">
        <v>-2241</v>
      </c>
      <c r="K47" s="7" t="n">
        <v>-773</v>
      </c>
    </row>
    <row r="48">
      <c r="A48" s="6" t="inlineStr">
        <is>
          <t>Net income (loss) attributable to noncontrolling interests and redeemable noncontrolling interests in subsidiaries</t>
        </is>
      </c>
      <c r="B48" s="7" t="n">
        <v>61</v>
      </c>
      <c r="C48" s="7" t="n">
        <v>62</v>
      </c>
      <c r="D48" s="7" t="n">
        <v>-23</v>
      </c>
      <c r="E48" s="7" t="n">
        <v>31</v>
      </c>
      <c r="F48" s="7" t="n">
        <v>125</v>
      </c>
      <c r="G48" s="7" t="n">
        <v>141</v>
      </c>
      <c r="H48" s="7" t="n">
        <v>87</v>
      </c>
      <c r="I48" s="7" t="n">
        <v>-87</v>
      </c>
      <c r="J48" s="7" t="n">
        <v>-279</v>
      </c>
    </row>
    <row r="49">
      <c r="A49" s="6" t="inlineStr">
        <is>
          <t>Net income attributable to common stockholders</t>
        </is>
      </c>
      <c r="B49" s="7" t="n">
        <v>3794</v>
      </c>
      <c r="C49" s="7" t="n">
        <v>7091</v>
      </c>
      <c r="D49" s="7" t="n">
        <v>14997</v>
      </c>
      <c r="E49" s="7" t="n">
        <v>12556</v>
      </c>
      <c r="F49" s="7" t="n">
        <v>5519</v>
      </c>
      <c r="G49" s="7" t="n">
        <v>721</v>
      </c>
      <c r="H49" s="7" t="n">
        <v>-862</v>
      </c>
      <c r="I49" s="7" t="n">
        <v>-976</v>
      </c>
      <c r="J49" s="7" t="n">
        <v>-1962</v>
      </c>
      <c r="K49" s="7" t="n">
        <v>-675</v>
      </c>
    </row>
    <row r="50">
      <c r="A50" s="5" t="inlineStr">
        <is>
          <t>Net income per share of common stock attributable to common stockholders</t>
        </is>
      </c>
    </row>
    <row r="51">
      <c r="A51" s="6" t="inlineStr">
        <is>
          <t>Basic</t>
        </is>
      </c>
      <c r="B51" s="7" t="n">
        <v>1.18</v>
      </c>
      <c r="C51" s="7" t="n">
        <v>2.23</v>
      </c>
      <c r="D51" s="7" t="n">
        <v>4.73</v>
      </c>
      <c r="E51" s="7" t="n">
        <v>4.02</v>
      </c>
      <c r="F51" s="7" t="n">
        <v>1.87</v>
      </c>
      <c r="G51" s="7" t="n">
        <v>0.25</v>
      </c>
      <c r="H51" s="7" t="n">
        <v>-4.92</v>
      </c>
      <c r="I51" s="7" t="n">
        <v>-5.72</v>
      </c>
      <c r="J51" s="7" t="n">
        <v>-11.83</v>
      </c>
      <c r="K51" s="7" t="n">
        <v>-4.68</v>
      </c>
    </row>
    <row r="52">
      <c r="A52" s="6" t="inlineStr">
        <is>
          <t>Diluted</t>
        </is>
      </c>
      <c r="B52" s="7" t="n">
        <v>1.08</v>
      </c>
      <c r="C52" s="7" t="n">
        <v>2.04</v>
      </c>
      <c r="D52" s="7" t="n">
        <v>4.3</v>
      </c>
      <c r="E52" s="7" t="n">
        <v>3.62</v>
      </c>
      <c r="F52" s="7" t="n">
        <v>1.63</v>
      </c>
      <c r="G52" s="7" t="n">
        <v>0.21</v>
      </c>
      <c r="H52" s="7" t="n">
        <v>-4.92</v>
      </c>
      <c r="I52" s="7" t="n">
        <v>-5.72</v>
      </c>
      <c r="J52" s="7" t="n">
        <v>-11.83</v>
      </c>
      <c r="K52" s="7" t="n">
        <v>-4.68</v>
      </c>
    </row>
    <row r="53">
      <c r="A53" s="5" t="inlineStr">
        <is>
          <t>Weighted average shares used in computing net income per share of common stock</t>
        </is>
      </c>
    </row>
    <row r="54">
      <c r="A54" s="6" t="inlineStr">
        <is>
          <t>Basic</t>
        </is>
      </c>
      <c r="B54" s="7" t="n">
        <v>3225</v>
      </c>
      <c r="C54" s="7" t="n">
        <v>3197</v>
      </c>
      <c r="D54" s="7" t="n">
        <v>3174</v>
      </c>
      <c r="E54" s="7" t="n">
        <v>3130</v>
      </c>
      <c r="F54" s="7" t="n">
        <v>2959</v>
      </c>
      <c r="G54" s="7" t="n">
        <v>2798</v>
      </c>
      <c r="H54" s="7" t="n">
        <v>177</v>
      </c>
      <c r="I54" s="7" t="n">
        <v>171</v>
      </c>
      <c r="J54" s="7" t="n">
        <v>166</v>
      </c>
    </row>
    <row r="55">
      <c r="A55" s="6" t="inlineStr">
        <is>
          <t>Diluted</t>
        </is>
      </c>
      <c r="B55" s="7" t="n">
        <v>3528</v>
      </c>
      <c r="C55" s="7" t="n">
        <v>3498</v>
      </c>
      <c r="D55" s="7" t="n">
        <v>3485</v>
      </c>
      <c r="E55" s="7" t="n">
        <v>3475</v>
      </c>
      <c r="F55" s="7" t="n">
        <v>3386</v>
      </c>
      <c r="G55" s="7" t="n">
        <v>3249</v>
      </c>
      <c r="H55" s="7" t="n">
        <v>177</v>
      </c>
      <c r="I55" s="7" t="n">
        <v>171</v>
      </c>
      <c r="J55" s="7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TESLA, INC. - BALANCE SHEET</t>
        </is>
      </c>
    </row>
    <row r="2">
      <c r="A2" s="2" t="inlineStr">
        <is>
          <t>Scale / Reporting Currency: (in millions, except per share data)</t>
        </is>
      </c>
    </row>
    <row r="4">
      <c r="A4" s="3" t="inlineStr">
        <is>
          <t>Line Item / Account</t>
        </is>
      </c>
      <c r="B4" s="4" t="inlineStr">
        <is>
          <t>2025</t>
        </is>
      </c>
      <c r="C4" s="4" t="inlineStr">
        <is>
          <t>2024</t>
        </is>
      </c>
      <c r="D4" s="4" t="inlineStr">
        <is>
          <t>2023</t>
        </is>
      </c>
      <c r="E4" s="4" t="inlineStr">
        <is>
          <t>2022</t>
        </is>
      </c>
      <c r="F4" s="4" t="inlineStr">
        <is>
          <t>2021</t>
        </is>
      </c>
      <c r="G4" s="4" t="inlineStr">
        <is>
          <t>2020</t>
        </is>
      </c>
      <c r="H4" s="4" t="inlineStr">
        <is>
          <t>2019</t>
        </is>
      </c>
      <c r="I4" s="4" t="inlineStr">
        <is>
          <t>2018</t>
        </is>
      </c>
      <c r="J4" s="4" t="inlineStr">
        <is>
          <t>2017</t>
        </is>
      </c>
      <c r="K4" s="4" t="inlineStr">
        <is>
          <t>2016</t>
        </is>
      </c>
    </row>
    <row r="5">
      <c r="A5" s="5" t="inlineStr">
        <is>
          <t>Assets</t>
        </is>
      </c>
    </row>
    <row r="6">
      <c r="A6" s="5" t="inlineStr">
        <is>
          <t>Current assets</t>
        </is>
      </c>
    </row>
    <row r="7">
      <c r="A7" s="6" t="inlineStr">
        <is>
          <t>Cash and cash equivalents</t>
        </is>
      </c>
      <c r="B7" s="7" t="n">
        <v>16513</v>
      </c>
      <c r="C7" s="7" t="n">
        <v>16139</v>
      </c>
      <c r="D7" s="7" t="n">
        <v>16398</v>
      </c>
      <c r="E7" s="7" t="n">
        <v>16253</v>
      </c>
      <c r="F7" s="7" t="n">
        <v>17576</v>
      </c>
      <c r="G7" s="7" t="n">
        <v>19384</v>
      </c>
      <c r="H7" s="7" t="n">
        <v>6268</v>
      </c>
      <c r="I7" s="7" t="n">
        <v>3686</v>
      </c>
      <c r="J7" s="7" t="n">
        <v>3368</v>
      </c>
      <c r="K7" s="7" t="n">
        <v>3393</v>
      </c>
    </row>
    <row r="8">
      <c r="A8" s="6" t="inlineStr">
        <is>
          <t>Restricted cash</t>
        </is>
      </c>
      <c r="H8" s="7" t="n">
        <v>246</v>
      </c>
      <c r="I8" s="7" t="n">
        <v>193</v>
      </c>
      <c r="J8" s="7" t="n">
        <v>155</v>
      </c>
      <c r="K8" s="7" t="n">
        <v>106</v>
      </c>
    </row>
    <row r="9">
      <c r="A9" s="6" t="inlineStr">
        <is>
          <t>Short-term investments</t>
        </is>
      </c>
      <c r="B9" s="7" t="n">
        <v>27546</v>
      </c>
      <c r="C9" s="7" t="n">
        <v>20424</v>
      </c>
      <c r="D9" s="7" t="n">
        <v>12696</v>
      </c>
      <c r="E9" s="7" t="n">
        <v>5932</v>
      </c>
      <c r="F9" s="7" t="n">
        <v>131</v>
      </c>
      <c r="G9" s="7" t="n">
        <v>0</v>
      </c>
    </row>
    <row r="10">
      <c r="A10" s="6" t="inlineStr">
        <is>
          <t>Accounts receivable, net</t>
        </is>
      </c>
      <c r="B10" s="7" t="n">
        <v>4576</v>
      </c>
      <c r="C10" s="7" t="n">
        <v>4418</v>
      </c>
      <c r="D10" s="7" t="n">
        <v>3508</v>
      </c>
      <c r="E10" s="7" t="n">
        <v>2952</v>
      </c>
      <c r="F10" s="7" t="n">
        <v>1913</v>
      </c>
      <c r="G10" s="7" t="n">
        <v>1886</v>
      </c>
      <c r="H10" s="7" t="n">
        <v>1324</v>
      </c>
      <c r="I10" s="7" t="n">
        <v>949</v>
      </c>
      <c r="J10" s="7" t="n">
        <v>515</v>
      </c>
      <c r="K10" s="7" t="n">
        <v>499</v>
      </c>
    </row>
    <row r="11">
      <c r="A11" s="6" t="inlineStr">
        <is>
          <t>Inventory</t>
        </is>
      </c>
      <c r="B11" s="7" t="n">
        <v>12392</v>
      </c>
      <c r="C11" s="7" t="n">
        <v>12017</v>
      </c>
      <c r="D11" s="7" t="n">
        <v>13626</v>
      </c>
      <c r="E11" s="7" t="n">
        <v>12839</v>
      </c>
      <c r="F11" s="7" t="n">
        <v>5757</v>
      </c>
      <c r="G11" s="7" t="n">
        <v>4101</v>
      </c>
      <c r="H11" s="7" t="n">
        <v>3552</v>
      </c>
      <c r="I11" s="7" t="n">
        <v>3113</v>
      </c>
      <c r="J11" s="7" t="n">
        <v>2264</v>
      </c>
      <c r="K11" s="7" t="n">
        <v>2067</v>
      </c>
    </row>
    <row r="12">
      <c r="A12" s="6" t="inlineStr">
        <is>
          <t>Prepaid expenses and other current assets</t>
        </is>
      </c>
      <c r="B12" s="7" t="n">
        <v>7615</v>
      </c>
      <c r="C12" s="7" t="n">
        <v>5362</v>
      </c>
      <c r="D12" s="7" t="n">
        <v>3388</v>
      </c>
      <c r="E12" s="7" t="n">
        <v>2941</v>
      </c>
      <c r="F12" s="7" t="n">
        <v>1723</v>
      </c>
      <c r="G12" s="7" t="n">
        <v>1346</v>
      </c>
      <c r="H12" s="7" t="n">
        <v>959</v>
      </c>
      <c r="I12" s="7" t="n">
        <v>366</v>
      </c>
      <c r="J12" s="7" t="n">
        <v>268</v>
      </c>
      <c r="K12" s="7" t="n">
        <v>194</v>
      </c>
    </row>
    <row r="13">
      <c r="A13" s="6" t="inlineStr">
        <is>
          <t>Total current assets</t>
        </is>
      </c>
      <c r="B13" s="7" t="n">
        <v>68642</v>
      </c>
      <c r="C13" s="7" t="n">
        <v>58360</v>
      </c>
      <c r="D13" s="7" t="n">
        <v>49616</v>
      </c>
      <c r="E13" s="7" t="n">
        <v>40917</v>
      </c>
      <c r="F13" s="7" t="n">
        <v>27100</v>
      </c>
      <c r="G13" s="7" t="n">
        <v>26717</v>
      </c>
      <c r="H13" s="7" t="n">
        <v>12103</v>
      </c>
      <c r="I13" s="7" t="n">
        <v>8307</v>
      </c>
      <c r="J13" s="7" t="n">
        <v>6571</v>
      </c>
      <c r="K13" s="7" t="n">
        <v>6260</v>
      </c>
    </row>
    <row r="14">
      <c r="A14" s="6" t="inlineStr">
        <is>
          <t>Operating lease vehicles, net</t>
        </is>
      </c>
      <c r="B14" s="7" t="n">
        <v>4912</v>
      </c>
      <c r="C14" s="7" t="n">
        <v>5581</v>
      </c>
      <c r="D14" s="7" t="n">
        <v>5989</v>
      </c>
      <c r="E14" s="7" t="n">
        <v>5035</v>
      </c>
      <c r="F14" s="7" t="n">
        <v>4511</v>
      </c>
      <c r="G14" s="7" t="n">
        <v>3091</v>
      </c>
      <c r="H14" s="7" t="n">
        <v>2447</v>
      </c>
      <c r="I14" s="7" t="n">
        <v>2090</v>
      </c>
      <c r="J14" s="7" t="n">
        <v>4117</v>
      </c>
      <c r="K14" s="7" t="n">
        <v>3134</v>
      </c>
    </row>
    <row r="15">
      <c r="A15" s="6" t="inlineStr">
        <is>
          <t>Energy generation and storage systems, net</t>
        </is>
      </c>
      <c r="B15" s="7" t="n">
        <v>4604</v>
      </c>
      <c r="C15" s="7" t="n">
        <v>4924</v>
      </c>
      <c r="D15" s="7" t="n">
        <v>5229</v>
      </c>
      <c r="E15" s="7" t="n">
        <v>5489</v>
      </c>
      <c r="F15" s="7" t="n">
        <v>5765</v>
      </c>
      <c r="G15" s="7" t="n">
        <v>5979</v>
      </c>
      <c r="H15" s="7" t="n">
        <v>6138</v>
      </c>
      <c r="I15" s="7" t="n">
        <v>6271</v>
      </c>
      <c r="J15" s="7" t="n">
        <v>6347</v>
      </c>
      <c r="K15" s="7" t="n">
        <v>5920</v>
      </c>
    </row>
    <row r="16">
      <c r="A16" s="6" t="inlineStr">
        <is>
          <t>Property, plant and equipment, net</t>
        </is>
      </c>
      <c r="B16" s="7" t="n">
        <v>40643</v>
      </c>
      <c r="C16" s="7" t="n">
        <v>35836</v>
      </c>
      <c r="D16" s="7" t="n">
        <v>29725</v>
      </c>
      <c r="E16" s="7" t="n">
        <v>23548</v>
      </c>
      <c r="F16" s="7" t="n">
        <v>18884</v>
      </c>
      <c r="G16" s="7" t="n">
        <v>12747</v>
      </c>
      <c r="H16" s="7" t="n">
        <v>10396</v>
      </c>
      <c r="I16" s="7" t="n">
        <v>11330</v>
      </c>
      <c r="J16" s="7" t="n">
        <v>10028</v>
      </c>
      <c r="K16" s="7" t="n">
        <v>5983</v>
      </c>
    </row>
    <row r="17">
      <c r="A17" s="6" t="inlineStr">
        <is>
          <t>Operating lease right-of-use assets</t>
        </is>
      </c>
      <c r="B17" s="7" t="n">
        <v>6027</v>
      </c>
      <c r="C17" s="7" t="n">
        <v>5160</v>
      </c>
      <c r="D17" s="7" t="n">
        <v>4180</v>
      </c>
      <c r="E17" s="7" t="n">
        <v>2563</v>
      </c>
      <c r="F17" s="7" t="n">
        <v>2016</v>
      </c>
      <c r="G17" s="7" t="n">
        <v>1558</v>
      </c>
      <c r="H17" s="7" t="n">
        <v>1218</v>
      </c>
      <c r="I17" s="7" t="n">
        <v>0</v>
      </c>
    </row>
    <row r="18">
      <c r="A18" s="6" t="inlineStr">
        <is>
          <t>Intangible assets, net</t>
        </is>
      </c>
      <c r="C18" s="7" t="n">
        <v>150</v>
      </c>
      <c r="D18" s="7" t="n">
        <v>178</v>
      </c>
      <c r="E18" s="7" t="n">
        <v>215</v>
      </c>
      <c r="F18" s="7" t="n">
        <v>257</v>
      </c>
      <c r="G18" s="7" t="n">
        <v>313</v>
      </c>
      <c r="H18" s="7" t="n">
        <v>339</v>
      </c>
      <c r="I18" s="7" t="n">
        <v>282</v>
      </c>
      <c r="J18" s="7" t="n">
        <v>362</v>
      </c>
      <c r="K18" s="7" t="n">
        <v>376</v>
      </c>
    </row>
    <row r="19">
      <c r="A19" s="6" t="inlineStr">
        <is>
          <t>Goodwill</t>
        </is>
      </c>
      <c r="C19" s="7" t="n">
        <v>244</v>
      </c>
      <c r="D19" s="7" t="n">
        <v>253</v>
      </c>
      <c r="E19" s="7" t="n">
        <v>194</v>
      </c>
      <c r="F19" s="7" t="n">
        <v>200</v>
      </c>
      <c r="G19" s="7" t="n">
        <v>207</v>
      </c>
      <c r="H19" s="7" t="n">
        <v>198</v>
      </c>
      <c r="I19" s="7" t="n">
        <v>68</v>
      </c>
      <c r="J19" s="7" t="n">
        <v>60</v>
      </c>
      <c r="K19" s="7" t="n">
        <v>0</v>
      </c>
    </row>
    <row r="20">
      <c r="A20" s="6" t="inlineStr">
        <is>
          <t>MyPower customer notes receivable, net of current portion</t>
        </is>
      </c>
      <c r="H20" s="7" t="n">
        <v>393</v>
      </c>
      <c r="I20" s="7" t="n">
        <v>422</v>
      </c>
      <c r="J20" s="7" t="n">
        <v>457</v>
      </c>
      <c r="K20" s="7" t="n">
        <v>506</v>
      </c>
    </row>
    <row r="21">
      <c r="A21" s="6" t="inlineStr">
        <is>
          <t>Restricted cash, net of current portion</t>
        </is>
      </c>
      <c r="H21" s="7" t="n">
        <v>269</v>
      </c>
      <c r="I21" s="7" t="n">
        <v>398</v>
      </c>
      <c r="J21" s="7" t="n">
        <v>442</v>
      </c>
      <c r="K21" s="7" t="n">
        <v>268</v>
      </c>
    </row>
    <row r="22">
      <c r="A22" s="6" t="inlineStr">
        <is>
          <t>Other assets</t>
        </is>
      </c>
      <c r="H22" s="7" t="n">
        <v>808</v>
      </c>
      <c r="I22" s="7" t="n">
        <v>572</v>
      </c>
      <c r="J22" s="7" t="n">
        <v>273</v>
      </c>
      <c r="K22" s="7" t="n">
        <v>217</v>
      </c>
    </row>
    <row r="23">
      <c r="A23" s="6" t="inlineStr">
        <is>
          <t>Digital assets</t>
        </is>
      </c>
      <c r="B23" s="7" t="n">
        <v>1008</v>
      </c>
      <c r="C23" s="7" t="n">
        <v>1076</v>
      </c>
      <c r="D23" s="7" t="n">
        <v>184</v>
      </c>
      <c r="E23" s="7" t="n">
        <v>184</v>
      </c>
      <c r="F23" s="7" t="n">
        <v>1260</v>
      </c>
      <c r="G23" s="7" t="n">
        <v>0</v>
      </c>
    </row>
    <row r="24">
      <c r="A24" s="6" t="inlineStr">
        <is>
          <t>Deferred tax assets</t>
        </is>
      </c>
      <c r="B24" s="7" t="n">
        <v>6925</v>
      </c>
      <c r="C24" s="7" t="n">
        <v>6524</v>
      </c>
      <c r="D24" s="7" t="n">
        <v>6733</v>
      </c>
      <c r="E24" s="7" t="n">
        <v>328</v>
      </c>
    </row>
    <row r="25">
      <c r="A25" s="6" t="inlineStr">
        <is>
          <t>Other non-current assets</t>
        </is>
      </c>
      <c r="B25" s="7" t="n">
        <v>5045</v>
      </c>
      <c r="C25" s="7" t="n">
        <v>4609</v>
      </c>
      <c r="D25" s="7" t="n">
        <v>4531</v>
      </c>
      <c r="E25" s="7" t="n">
        <v>3865</v>
      </c>
      <c r="F25" s="7" t="n">
        <v>2138</v>
      </c>
      <c r="G25" s="7" t="n">
        <v>1536</v>
      </c>
      <c r="H25" s="7" t="n">
        <v>1470</v>
      </c>
    </row>
    <row r="26">
      <c r="A26" s="6" t="inlineStr">
        <is>
          <t>Total assets</t>
        </is>
      </c>
      <c r="B26" s="7" t="n">
        <v>137806</v>
      </c>
      <c r="C26" s="7" t="n">
        <v>122070</v>
      </c>
      <c r="D26" s="7" t="n">
        <v>106618</v>
      </c>
      <c r="E26" s="7" t="n">
        <v>82338</v>
      </c>
      <c r="F26" s="7" t="n">
        <v>62131</v>
      </c>
      <c r="G26" s="7" t="n">
        <v>52148</v>
      </c>
      <c r="H26" s="7" t="n">
        <v>34309</v>
      </c>
      <c r="I26" s="7" t="n">
        <v>29740</v>
      </c>
      <c r="J26" s="7" t="n">
        <v>28655</v>
      </c>
      <c r="K26" s="7" t="n">
        <v>22664</v>
      </c>
    </row>
    <row r="27">
      <c r="A27" s="5" t="inlineStr">
        <is>
          <t>Liabilities</t>
        </is>
      </c>
    </row>
    <row r="28">
      <c r="A28" s="5" t="inlineStr">
        <is>
          <t>Current liabilities</t>
        </is>
      </c>
    </row>
    <row r="29">
      <c r="A29" s="6" t="inlineStr">
        <is>
          <t>Accounts payable</t>
        </is>
      </c>
      <c r="B29" s="7" t="n">
        <v>13371</v>
      </c>
      <c r="C29" s="7" t="n">
        <v>12474</v>
      </c>
      <c r="D29" s="7" t="n">
        <v>14431</v>
      </c>
      <c r="E29" s="7" t="n">
        <v>15255</v>
      </c>
      <c r="F29" s="7" t="n">
        <v>10025</v>
      </c>
      <c r="G29" s="7" t="n">
        <v>6051</v>
      </c>
      <c r="H29" s="7" t="n">
        <v>3771</v>
      </c>
      <c r="I29" s="7" t="n">
        <v>3405</v>
      </c>
      <c r="J29" s="7" t="n">
        <v>2390</v>
      </c>
      <c r="K29" s="7" t="n">
        <v>1860</v>
      </c>
    </row>
    <row r="30">
      <c r="A30" s="6" t="inlineStr">
        <is>
          <t>Accrued liabilities and other</t>
        </is>
      </c>
      <c r="B30" s="7" t="n">
        <v>13279</v>
      </c>
      <c r="C30" s="7" t="n">
        <v>10723</v>
      </c>
      <c r="D30" s="7" t="n">
        <v>9080</v>
      </c>
      <c r="E30" s="7" t="n">
        <v>8205</v>
      </c>
      <c r="F30" s="7" t="n">
        <v>5719</v>
      </c>
      <c r="G30" s="7" t="n">
        <v>3855</v>
      </c>
      <c r="H30" s="7" t="n">
        <v>3222</v>
      </c>
      <c r="I30" s="7" t="n">
        <v>2094</v>
      </c>
      <c r="J30" s="7" t="n">
        <v>1731</v>
      </c>
      <c r="K30" s="7" t="n">
        <v>1210</v>
      </c>
    </row>
    <row r="31">
      <c r="A31" s="6" t="inlineStr">
        <is>
          <t>Deferred revenue</t>
        </is>
      </c>
      <c r="B31" s="7" t="n">
        <v>3424</v>
      </c>
      <c r="C31" s="7" t="n">
        <v>3168</v>
      </c>
      <c r="D31" s="7" t="n">
        <v>2864</v>
      </c>
      <c r="E31" s="7" t="n">
        <v>1747</v>
      </c>
      <c r="F31" s="7" t="n">
        <v>1447</v>
      </c>
      <c r="G31" s="7" t="n">
        <v>1458</v>
      </c>
      <c r="H31" s="7" t="n">
        <v>1163</v>
      </c>
      <c r="I31" s="7" t="n">
        <v>630</v>
      </c>
      <c r="J31" s="7" t="n">
        <v>1015</v>
      </c>
      <c r="K31" s="7" t="n">
        <v>763</v>
      </c>
    </row>
    <row r="32">
      <c r="A32" s="6" t="inlineStr">
        <is>
          <t>Resale value guarantees</t>
        </is>
      </c>
      <c r="H32" s="7" t="n">
        <v>317</v>
      </c>
      <c r="I32" s="7" t="n">
        <v>503</v>
      </c>
      <c r="J32" s="7" t="n">
        <v>787</v>
      </c>
      <c r="K32" s="7" t="n">
        <v>180</v>
      </c>
    </row>
    <row r="33">
      <c r="A33" s="6" t="inlineStr">
        <is>
          <t>Customer deposits</t>
        </is>
      </c>
      <c r="E33" s="7" t="n">
        <v>1063</v>
      </c>
      <c r="F33" s="7" t="n">
        <v>925</v>
      </c>
      <c r="G33" s="7" t="n">
        <v>752</v>
      </c>
      <c r="H33" s="7" t="n">
        <v>726</v>
      </c>
      <c r="I33" s="7" t="n">
        <v>793</v>
      </c>
      <c r="J33" s="7" t="n">
        <v>854</v>
      </c>
      <c r="K33" s="7" t="n">
        <v>664</v>
      </c>
    </row>
    <row r="34">
      <c r="A34" s="6" t="inlineStr">
        <is>
          <t>Current portion of promissory notes issued to related parties</t>
        </is>
      </c>
      <c r="I34" s="7" t="n">
        <v>0</v>
      </c>
      <c r="J34" s="7" t="n">
        <v>100</v>
      </c>
      <c r="K34" s="7" t="n">
        <v>166</v>
      </c>
    </row>
    <row r="35">
      <c r="A35" s="6" t="inlineStr">
        <is>
          <t>Current portion of debt and finance leases</t>
        </is>
      </c>
      <c r="B35" s="7" t="n">
        <v>1640</v>
      </c>
      <c r="C35" s="7" t="n">
        <v>2456</v>
      </c>
      <c r="D35" s="7" t="n">
        <v>2373</v>
      </c>
      <c r="E35" s="7" t="n">
        <v>1502</v>
      </c>
      <c r="F35" s="7" t="n">
        <v>1589</v>
      </c>
      <c r="G35" s="7" t="n">
        <v>2132</v>
      </c>
      <c r="H35" s="7" t="n">
        <v>1785</v>
      </c>
      <c r="I35" s="7" t="n">
        <v>2568</v>
      </c>
      <c r="J35" s="7" t="n">
        <v>797</v>
      </c>
      <c r="K35" s="7" t="n">
        <v>984</v>
      </c>
    </row>
    <row r="36">
      <c r="A36" s="6" t="inlineStr">
        <is>
          <t>Total current liabilities</t>
        </is>
      </c>
      <c r="B36" s="7" t="n">
        <v>31714</v>
      </c>
      <c r="C36" s="7" t="n">
        <v>28821</v>
      </c>
      <c r="D36" s="7" t="n">
        <v>28748</v>
      </c>
      <c r="E36" s="7" t="n">
        <v>26709</v>
      </c>
      <c r="F36" s="7" t="n">
        <v>19705</v>
      </c>
      <c r="G36" s="7" t="n">
        <v>14248</v>
      </c>
      <c r="H36" s="7" t="n">
        <v>10667</v>
      </c>
      <c r="I36" s="7" t="n">
        <v>9993</v>
      </c>
      <c r="J36" s="7" t="n">
        <v>7675</v>
      </c>
      <c r="K36" s="7" t="n">
        <v>5827</v>
      </c>
    </row>
    <row r="37">
      <c r="A37" s="6" t="inlineStr">
        <is>
          <t>Solar bonds issued to related parties, net of current portion</t>
        </is>
      </c>
      <c r="J37" s="7" t="n">
        <v>0</v>
      </c>
      <c r="K37" s="7" t="n">
        <v>99</v>
      </c>
    </row>
    <row r="38">
      <c r="A38" s="6" t="inlineStr">
        <is>
          <t>Convertible senior notes issued to related parties</t>
        </is>
      </c>
      <c r="J38" s="7" t="n">
        <v>3</v>
      </c>
      <c r="K38" s="7" t="n">
        <v>10</v>
      </c>
    </row>
    <row r="39">
      <c r="A39" s="6" t="inlineStr">
        <is>
          <t>Debt and finance leases, net of current portion</t>
        </is>
      </c>
      <c r="B39" s="7" t="n">
        <v>6736</v>
      </c>
      <c r="C39" s="7" t="n">
        <v>5757</v>
      </c>
      <c r="D39" s="7" t="n">
        <v>2857</v>
      </c>
      <c r="E39" s="7" t="n">
        <v>1597</v>
      </c>
      <c r="F39" s="7" t="n">
        <v>5245</v>
      </c>
      <c r="G39" s="7" t="n">
        <v>9556</v>
      </c>
      <c r="H39" s="7" t="n">
        <v>11634</v>
      </c>
      <c r="I39" s="7" t="n">
        <v>9404</v>
      </c>
      <c r="J39" s="7" t="n">
        <v>9418</v>
      </c>
      <c r="K39" s="7" t="n">
        <v>5860</v>
      </c>
    </row>
    <row r="40">
      <c r="A40" s="6" t="inlineStr">
        <is>
          <t>Deferred revenue, net of current portion</t>
        </is>
      </c>
      <c r="B40" s="7" t="n">
        <v>3631</v>
      </c>
      <c r="C40" s="7" t="n">
        <v>3317</v>
      </c>
      <c r="D40" s="7" t="n">
        <v>3251</v>
      </c>
      <c r="E40" s="7" t="n">
        <v>2804</v>
      </c>
      <c r="F40" s="7" t="n">
        <v>2052</v>
      </c>
      <c r="G40" s="7" t="n">
        <v>1284</v>
      </c>
      <c r="H40" s="7" t="n">
        <v>1207</v>
      </c>
      <c r="I40" s="7" t="n">
        <v>991</v>
      </c>
      <c r="J40" s="7" t="n">
        <v>1178</v>
      </c>
      <c r="K40" s="7" t="n">
        <v>852</v>
      </c>
    </row>
    <row r="41">
      <c r="A41" s="6" t="inlineStr">
        <is>
          <t>Resale value guarantees, net of current portion</t>
        </is>
      </c>
      <c r="H41" s="7" t="n">
        <v>36</v>
      </c>
      <c r="I41" s="7" t="n">
        <v>329</v>
      </c>
      <c r="J41" s="7" t="n">
        <v>2309</v>
      </c>
      <c r="K41" s="7" t="n">
        <v>2210</v>
      </c>
    </row>
    <row r="42">
      <c r="A42" s="6" t="inlineStr">
        <is>
          <t>Other long-term liabilities</t>
        </is>
      </c>
      <c r="B42" s="7" t="n">
        <v>12860</v>
      </c>
      <c r="C42" s="7" t="n">
        <v>10495</v>
      </c>
      <c r="D42" s="7" t="n">
        <v>8153</v>
      </c>
      <c r="E42" s="7" t="n">
        <v>5330</v>
      </c>
      <c r="F42" s="7" t="n">
        <v>3546</v>
      </c>
      <c r="G42" s="7" t="n">
        <v>3330</v>
      </c>
      <c r="H42" s="7" t="n">
        <v>2691</v>
      </c>
      <c r="I42" s="7" t="n">
        <v>2710</v>
      </c>
      <c r="J42" s="7" t="n">
        <v>2443</v>
      </c>
      <c r="K42" s="7" t="n">
        <v>1891</v>
      </c>
    </row>
    <row r="43">
      <c r="A43" s="6" t="inlineStr">
        <is>
          <t>Total liabilities</t>
        </is>
      </c>
      <c r="B43" s="7" t="n">
        <v>54941</v>
      </c>
      <c r="C43" s="7" t="n">
        <v>48390</v>
      </c>
      <c r="D43" s="7" t="n">
        <v>43009</v>
      </c>
      <c r="E43" s="7" t="n">
        <v>36440</v>
      </c>
      <c r="F43" s="7" t="n">
        <v>30548</v>
      </c>
      <c r="G43" s="7" t="n">
        <v>28418</v>
      </c>
      <c r="H43" s="7" t="n">
        <v>26199</v>
      </c>
      <c r="I43" s="7" t="n">
        <v>23427</v>
      </c>
      <c r="J43" s="7" t="n">
        <v>23023</v>
      </c>
      <c r="K43" s="7" t="n">
        <v>16750</v>
      </c>
    </row>
    <row r="44">
      <c r="A44" s="5" t="inlineStr">
        <is>
          <t>Commitments and contingencies (Note 13)</t>
        </is>
      </c>
    </row>
    <row r="45">
      <c r="A45" s="6" t="inlineStr">
        <is>
          <t>Redeemable noncontrolling interests in subsidiaries</t>
        </is>
      </c>
      <c r="B45" s="7" t="n">
        <v>58</v>
      </c>
      <c r="C45" s="7" t="n">
        <v>63</v>
      </c>
      <c r="D45" s="7" t="n">
        <v>242</v>
      </c>
      <c r="E45" s="7" t="n">
        <v>409</v>
      </c>
      <c r="F45" s="7" t="n">
        <v>568</v>
      </c>
      <c r="G45" s="7" t="n">
        <v>604</v>
      </c>
      <c r="H45" s="7" t="n">
        <v>643</v>
      </c>
      <c r="I45" s="7" t="n">
        <v>556</v>
      </c>
      <c r="J45" s="7" t="n">
        <v>398</v>
      </c>
      <c r="K45" s="7" t="n">
        <v>367</v>
      </c>
    </row>
    <row r="46">
      <c r="A46" s="6" t="inlineStr">
        <is>
          <t>Convertible senior notes (Note 11)</t>
        </is>
      </c>
      <c r="F46" s="7" t="n">
        <v>0</v>
      </c>
      <c r="G46" s="7" t="n">
        <v>51</v>
      </c>
      <c r="H46" s="7" t="n">
        <v>0</v>
      </c>
      <c r="I46" s="7" t="n">
        <v>0</v>
      </c>
      <c r="J46" s="7" t="n">
        <v>0</v>
      </c>
      <c r="K46" s="7" t="n">
        <v>9</v>
      </c>
    </row>
    <row r="47">
      <c r="A47" s="5" t="inlineStr">
        <is>
          <t>Equity</t>
        </is>
      </c>
    </row>
    <row r="48">
      <c r="A48" s="5" t="inlineStr">
        <is>
          <t>Stockholders’ equity</t>
        </is>
      </c>
    </row>
    <row r="49">
      <c r="A49" s="6" t="inlineStr">
        <is>
          <t>Preferred stock; $0.001par value;100shares authorized;noshares issued and outstanding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</row>
    <row r="50">
      <c r="A50" s="6" t="inlineStr">
        <is>
          <t>Common stock; $0.001par value;6,000shares authorized;3,216and3,185shares issued and outstanding as of December 31, 2024 and December 31, 2023, respectively</t>
        </is>
      </c>
      <c r="C50" s="7" t="n">
        <v>3</v>
      </c>
      <c r="D50" s="7" t="n">
        <v>3</v>
      </c>
      <c r="E50" s="7" t="n">
        <v>3</v>
      </c>
      <c r="F50" s="7" t="n">
        <v>3</v>
      </c>
      <c r="G50" s="7" t="n">
        <v>1</v>
      </c>
      <c r="H50" s="7" t="n">
        <v>1</v>
      </c>
      <c r="J50" s="7" t="n">
        <v>0</v>
      </c>
      <c r="K50" s="7" t="n">
        <v>0</v>
      </c>
    </row>
    <row r="51">
      <c r="A51" s="6" t="inlineStr">
        <is>
          <t>Common stock; $0.001par value;6,000shares authorized;3,751and3,216shares issued and outstanding as of December 31, 2025 and 2024, respectively</t>
        </is>
      </c>
      <c r="B51" s="7" t="n">
        <v>3</v>
      </c>
      <c r="C51" s="7" t="n">
        <v>3</v>
      </c>
      <c r="D51" s="7" t="n">
        <v>3</v>
      </c>
      <c r="E51" s="7" t="n">
        <v>3</v>
      </c>
      <c r="H51" s="7" t="n">
        <v>0</v>
      </c>
      <c r="I51" s="7" t="n">
        <v>0</v>
      </c>
      <c r="J51" s="7" t="n">
        <v>0</v>
      </c>
    </row>
    <row r="52">
      <c r="A52" s="6" t="inlineStr">
        <is>
          <t>Additional paid-in capital</t>
        </is>
      </c>
      <c r="B52" s="7" t="n">
        <v>42770</v>
      </c>
      <c r="C52" s="7" t="n">
        <v>38371</v>
      </c>
      <c r="D52" s="7" t="n">
        <v>34892</v>
      </c>
      <c r="E52" s="7" t="n">
        <v>32177</v>
      </c>
      <c r="F52" s="7" t="n">
        <v>29803</v>
      </c>
      <c r="G52" s="7" t="n">
        <v>27260</v>
      </c>
      <c r="H52" s="7" t="n">
        <v>12736</v>
      </c>
      <c r="I52" s="7" t="n">
        <v>10249</v>
      </c>
      <c r="J52" s="7" t="n">
        <v>9178</v>
      </c>
      <c r="K52" s="7" t="n">
        <v>7774</v>
      </c>
    </row>
    <row r="53">
      <c r="A53" s="6" t="inlineStr">
        <is>
          <t>Accumulated other comprehensive income (loss)</t>
        </is>
      </c>
      <c r="B53" s="7" t="n">
        <v>361</v>
      </c>
      <c r="C53" s="7" t="n">
        <v>-670</v>
      </c>
      <c r="D53" s="7" t="n">
        <v>-143</v>
      </c>
      <c r="E53" s="7" t="n">
        <v>-361</v>
      </c>
      <c r="F53" s="7" t="n">
        <v>54</v>
      </c>
      <c r="G53" s="7" t="n">
        <v>363</v>
      </c>
      <c r="H53" s="7" t="n">
        <v>-36</v>
      </c>
      <c r="I53" s="7" t="n">
        <v>-8</v>
      </c>
      <c r="J53" s="7" t="n">
        <v>33</v>
      </c>
      <c r="K53" s="7" t="n">
        <v>-24</v>
      </c>
    </row>
    <row r="54">
      <c r="A54" s="6" t="inlineStr">
        <is>
          <t>Retained earnings</t>
        </is>
      </c>
      <c r="B54" s="7" t="n">
        <v>39003</v>
      </c>
      <c r="C54" s="7" t="n">
        <v>35209</v>
      </c>
      <c r="D54" s="7" t="n">
        <v>27882</v>
      </c>
      <c r="E54" s="7" t="n">
        <v>12885</v>
      </c>
      <c r="F54" s="7" t="n">
        <v>329</v>
      </c>
      <c r="G54" s="7" t="n">
        <v>-5399</v>
      </c>
      <c r="H54" s="7" t="n">
        <v>-6083</v>
      </c>
      <c r="I54" s="7" t="n">
        <v>-5318</v>
      </c>
      <c r="J54" s="7" t="n">
        <v>-4974</v>
      </c>
      <c r="K54" s="7" t="n">
        <v>-2997</v>
      </c>
    </row>
    <row r="55">
      <c r="A55" s="6" t="inlineStr">
        <is>
          <t>Total stockholders’ equity</t>
        </is>
      </c>
      <c r="B55" s="7" t="n">
        <v>82137</v>
      </c>
      <c r="C55" s="7" t="n">
        <v>72913</v>
      </c>
      <c r="D55" s="7" t="n">
        <v>62634</v>
      </c>
      <c r="E55" s="7" t="n">
        <v>44704</v>
      </c>
      <c r="F55" s="7" t="n">
        <v>30189</v>
      </c>
      <c r="G55" s="7" t="n">
        <v>22225</v>
      </c>
      <c r="H55" s="7" t="n">
        <v>6618</v>
      </c>
      <c r="I55" s="7" t="n">
        <v>4923</v>
      </c>
      <c r="J55" s="7" t="n">
        <v>4237</v>
      </c>
      <c r="K55" s="7" t="n">
        <v>4753</v>
      </c>
    </row>
    <row r="56">
      <c r="A56" s="6" t="inlineStr">
        <is>
          <t>Noncontrolling interests in subsidiaries</t>
        </is>
      </c>
      <c r="B56" s="7" t="n">
        <v>670</v>
      </c>
      <c r="C56" s="7" t="n">
        <v>704</v>
      </c>
      <c r="D56" s="7" t="n">
        <v>733</v>
      </c>
      <c r="E56" s="7" t="n">
        <v>785</v>
      </c>
      <c r="F56" s="7" t="n">
        <v>826</v>
      </c>
      <c r="G56" s="7" t="n">
        <v>850</v>
      </c>
      <c r="H56" s="7" t="n">
        <v>849</v>
      </c>
      <c r="I56" s="7" t="n">
        <v>834</v>
      </c>
      <c r="J56" s="7" t="n">
        <v>997</v>
      </c>
      <c r="K56" s="7" t="n">
        <v>785</v>
      </c>
    </row>
    <row r="57">
      <c r="A57" s="6" t="inlineStr">
        <is>
          <t>Total liabilities and equity</t>
        </is>
      </c>
      <c r="B57" s="7" t="n">
        <v>137806</v>
      </c>
      <c r="C57" s="7" t="n">
        <v>122070</v>
      </c>
      <c r="D57" s="7" t="n">
        <v>106618</v>
      </c>
      <c r="E57" s="7" t="n">
        <v>82338</v>
      </c>
      <c r="F57" s="7" t="n">
        <v>62131</v>
      </c>
      <c r="G57" s="7" t="n">
        <v>52148</v>
      </c>
      <c r="H57" s="7" t="n">
        <v>34309</v>
      </c>
      <c r="I57" s="7" t="n">
        <v>29740</v>
      </c>
      <c r="J57" s="7" t="n">
        <v>28655</v>
      </c>
      <c r="K57" s="7" t="n">
        <v>22664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TESLA, INC. - CASH FLOWS</t>
        </is>
      </c>
    </row>
    <row r="2">
      <c r="A2" s="2" t="inlineStr">
        <is>
          <t>Scale / Reporting Currency: (in millions)</t>
        </is>
      </c>
    </row>
    <row r="4">
      <c r="A4" s="3" t="inlineStr">
        <is>
          <t>Line Item / Account</t>
        </is>
      </c>
      <c r="B4" s="4" t="inlineStr">
        <is>
          <t>2025</t>
        </is>
      </c>
      <c r="C4" s="4" t="inlineStr">
        <is>
          <t>2024</t>
        </is>
      </c>
      <c r="D4" s="4" t="inlineStr">
        <is>
          <t>2023</t>
        </is>
      </c>
      <c r="E4" s="4" t="inlineStr">
        <is>
          <t>2022</t>
        </is>
      </c>
      <c r="F4" s="4" t="inlineStr">
        <is>
          <t>2021</t>
        </is>
      </c>
      <c r="G4" s="4" t="inlineStr">
        <is>
          <t>2020</t>
        </is>
      </c>
      <c r="H4" s="4" t="inlineStr">
        <is>
          <t>2019</t>
        </is>
      </c>
      <c r="I4" s="4" t="inlineStr">
        <is>
          <t>2018</t>
        </is>
      </c>
      <c r="J4" s="4" t="inlineStr">
        <is>
          <t>2017</t>
        </is>
      </c>
      <c r="K4" s="4" t="inlineStr">
        <is>
          <t>2016</t>
        </is>
      </c>
    </row>
    <row r="5">
      <c r="A5" s="5" t="inlineStr">
        <is>
          <t>Cash Flows from Operating Activities</t>
        </is>
      </c>
    </row>
    <row r="6">
      <c r="A6" s="5" t="inlineStr">
        <is>
          <t>Adjustments to reconcile net loss to net cash used in operating activities:</t>
        </is>
      </c>
    </row>
    <row r="7">
      <c r="A7" s="6" t="inlineStr">
        <is>
          <t>Depreciation and amortization</t>
        </is>
      </c>
      <c r="J7" s="7" t="n">
        <v>1636</v>
      </c>
      <c r="K7" s="7" t="n">
        <v>947</v>
      </c>
    </row>
    <row r="8">
      <c r="A8" s="6" t="inlineStr">
        <is>
          <t>Amortization of discount on convertible debt</t>
        </is>
      </c>
      <c r="K8" s="7" t="n">
        <v>87</v>
      </c>
    </row>
    <row r="9">
      <c r="A9" s="6" t="inlineStr">
        <is>
          <t>Loss on disposal of property and equipment</t>
        </is>
      </c>
      <c r="K9" s="7" t="n">
        <v>35</v>
      </c>
    </row>
    <row r="10">
      <c r="A10" s="6" t="inlineStr">
        <is>
          <t>Gain on the acquisition of SolarCity</t>
        </is>
      </c>
      <c r="K10" s="7" t="n">
        <v>-89</v>
      </c>
    </row>
    <row r="11">
      <c r="A11" s="6" t="inlineStr">
        <is>
          <t>Foreign currency transaction losses (gains)</t>
        </is>
      </c>
      <c r="J11" s="7" t="n">
        <v>52</v>
      </c>
      <c r="K11" s="7" t="n">
        <v>-29</v>
      </c>
    </row>
    <row r="12">
      <c r="A12" s="5" t="inlineStr">
        <is>
          <t>Adjustments to reconcile net loss to net cash provided by (used in) operating activities:</t>
        </is>
      </c>
    </row>
    <row r="13">
      <c r="A13" s="6" t="inlineStr">
        <is>
          <t>Inventory write-downs</t>
        </is>
      </c>
      <c r="I13" s="7" t="n">
        <v>85</v>
      </c>
      <c r="J13" s="7" t="n">
        <v>132</v>
      </c>
      <c r="K13" s="7" t="n">
        <v>66</v>
      </c>
    </row>
    <row r="14">
      <c r="A14" s="6" t="inlineStr">
        <is>
          <t>Foreign currency transaction (gains) loss</t>
        </is>
      </c>
      <c r="H14" s="7" t="n">
        <v>-48</v>
      </c>
      <c r="I14" s="7" t="n">
        <v>-2</v>
      </c>
      <c r="J14" s="7" t="n">
        <v>52</v>
      </c>
      <c r="K14" s="7" t="n">
        <v>-29</v>
      </c>
    </row>
    <row r="15">
      <c r="A15" s="6" t="inlineStr">
        <is>
          <t>Loss related to SolarCity acquisition</t>
        </is>
      </c>
      <c r="H15" s="7" t="n">
        <v>0</v>
      </c>
      <c r="I15" s="7" t="n">
        <v>0</v>
      </c>
      <c r="J15" s="7" t="n">
        <v>58</v>
      </c>
      <c r="K15" s="7" t="n">
        <v>-89</v>
      </c>
    </row>
    <row r="16">
      <c r="A16" s="6" t="inlineStr">
        <is>
          <t>Non-cash interest and other operating activities</t>
        </is>
      </c>
      <c r="H16" s="7" t="n">
        <v>186</v>
      </c>
      <c r="I16" s="7" t="n">
        <v>49</v>
      </c>
      <c r="J16" s="7" t="n">
        <v>135</v>
      </c>
      <c r="K16" s="7" t="n">
        <v>-15</v>
      </c>
    </row>
    <row r="17">
      <c r="A17" s="6" t="inlineStr">
        <is>
          <t>Operating cash flow related to repayment of discounted convertible notes</t>
        </is>
      </c>
      <c r="H17" s="7" t="n">
        <v>-188</v>
      </c>
      <c r="I17" s="7" t="n">
        <v>0</v>
      </c>
      <c r="J17" s="7" t="n">
        <v>0</v>
      </c>
    </row>
    <row r="18">
      <c r="A18" s="5" t="inlineStr">
        <is>
          <t>Adjustments to reconcile net income (loss) to net cash provided by operating activities:</t>
        </is>
      </c>
    </row>
    <row r="19">
      <c r="A19" s="6" t="inlineStr">
        <is>
          <t>Amortization of debt discounts and issuance costs</t>
        </is>
      </c>
      <c r="G19" s="7" t="n">
        <v>180</v>
      </c>
      <c r="H19" s="7" t="n">
        <v>188</v>
      </c>
      <c r="I19" s="7" t="n">
        <v>159</v>
      </c>
      <c r="J19" s="7" t="n">
        <v>91</v>
      </c>
      <c r="K19" s="7" t="n">
        <v>95</v>
      </c>
    </row>
    <row r="20">
      <c r="A20" s="6" t="inlineStr">
        <is>
          <t>Loss on disposals of fixed assets</t>
        </is>
      </c>
      <c r="G20" s="7" t="n">
        <v>117</v>
      </c>
      <c r="H20" s="7" t="n">
        <v>146</v>
      </c>
      <c r="I20" s="7" t="n">
        <v>162</v>
      </c>
      <c r="J20" s="7" t="n">
        <v>106</v>
      </c>
      <c r="K20" s="7" t="n">
        <v>35</v>
      </c>
    </row>
    <row r="21">
      <c r="A21" s="6" t="inlineStr">
        <is>
          <t>Foreign currency transaction net loss (gain)</t>
        </is>
      </c>
      <c r="G21" s="7" t="n">
        <v>114</v>
      </c>
      <c r="H21" s="7" t="n">
        <v>-48</v>
      </c>
      <c r="I21" s="7" t="n">
        <v>-2</v>
      </c>
    </row>
    <row r="22">
      <c r="A22" s="6" t="inlineStr">
        <is>
          <t>Digital assets gain, net</t>
        </is>
      </c>
      <c r="F22" s="7" t="n">
        <v>-27</v>
      </c>
      <c r="G22" s="7" t="n">
        <v>0</v>
      </c>
      <c r="H22" s="7" t="n">
        <v>0</v>
      </c>
    </row>
    <row r="23">
      <c r="A23" s="6" t="inlineStr">
        <is>
          <t>Operating cash flow related to repayment of discounted convertible senior notes</t>
        </is>
      </c>
      <c r="F23" s="7" t="n">
        <v>0</v>
      </c>
      <c r="G23" s="7" t="n">
        <v>0</v>
      </c>
      <c r="H23" s="7" t="n">
        <v>-188</v>
      </c>
      <c r="I23" s="7" t="n">
        <v>0</v>
      </c>
    </row>
    <row r="24">
      <c r="A24" s="5" t="inlineStr">
        <is>
          <t>Changes in operating assets and liabilities, net of effect of business combinations:</t>
        </is>
      </c>
    </row>
    <row r="25">
      <c r="A25" s="6" t="inlineStr">
        <is>
          <t>Inventories and operating lease vehicles</t>
        </is>
      </c>
      <c r="K25" s="7" t="n">
        <v>-2466</v>
      </c>
    </row>
    <row r="26">
      <c r="A26" s="6" t="inlineStr">
        <is>
          <t>Inventories</t>
        </is>
      </c>
      <c r="J26" s="7" t="n">
        <v>-179</v>
      </c>
      <c r="K26" s="7" t="n">
        <v>-633</v>
      </c>
    </row>
    <row r="27">
      <c r="A27" s="6" t="inlineStr">
        <is>
          <t>MyPower notes receivable</t>
        </is>
      </c>
      <c r="K27" s="7" t="n">
        <v>3</v>
      </c>
    </row>
    <row r="28">
      <c r="A28" s="6" t="inlineStr">
        <is>
          <t>Other assets</t>
        </is>
      </c>
      <c r="K28" s="7" t="n">
        <v>-53</v>
      </c>
    </row>
    <row r="29">
      <c r="A29" s="6" t="inlineStr">
        <is>
          <t>Other assets and MyPower customer notes receivable</t>
        </is>
      </c>
      <c r="I29" s="7" t="n">
        <v>-207</v>
      </c>
      <c r="J29" s="7" t="n">
        <v>-15</v>
      </c>
      <c r="K29" s="7" t="n">
        <v>-49</v>
      </c>
    </row>
    <row r="30">
      <c r="A30" s="6" t="inlineStr">
        <is>
          <t>Resale value guarantee</t>
        </is>
      </c>
      <c r="H30" s="7" t="n">
        <v>-150</v>
      </c>
      <c r="I30" s="7" t="n">
        <v>-111</v>
      </c>
      <c r="J30" s="7" t="n">
        <v>209</v>
      </c>
      <c r="K30" s="7" t="n">
        <v>327</v>
      </c>
    </row>
    <row r="31">
      <c r="A31" s="6" t="inlineStr">
        <is>
          <t>Net income</t>
        </is>
      </c>
      <c r="B31" s="7" t="n">
        <v>3855</v>
      </c>
      <c r="C31" s="7" t="n">
        <v>7153</v>
      </c>
      <c r="D31" s="7" t="n">
        <v>14974</v>
      </c>
      <c r="E31" s="7" t="n">
        <v>12587</v>
      </c>
      <c r="F31" s="7" t="n">
        <v>5644</v>
      </c>
      <c r="G31" s="7" t="n">
        <v>862</v>
      </c>
      <c r="H31" s="7" t="n">
        <v>-775</v>
      </c>
      <c r="I31" s="7" t="n">
        <v>-1063</v>
      </c>
      <c r="J31" s="7" t="n">
        <v>-2241</v>
      </c>
      <c r="K31" s="7" t="n">
        <v>-773</v>
      </c>
    </row>
    <row r="32">
      <c r="A32" s="5" t="inlineStr">
        <is>
          <t>Adjustments to reconcile net income to net cash provided by operating activities:</t>
        </is>
      </c>
    </row>
    <row r="33">
      <c r="A33" s="6" t="inlineStr">
        <is>
          <t>Depreciation, amortization and impairment</t>
        </is>
      </c>
      <c r="B33" s="7" t="n">
        <v>6148</v>
      </c>
      <c r="C33" s="7" t="n">
        <v>5368</v>
      </c>
      <c r="D33" s="7" t="n">
        <v>4667</v>
      </c>
      <c r="E33" s="7" t="n">
        <v>3747</v>
      </c>
      <c r="F33" s="7" t="n">
        <v>2911</v>
      </c>
      <c r="G33" s="7" t="n">
        <v>2322</v>
      </c>
      <c r="H33" s="7" t="n">
        <v>2154</v>
      </c>
      <c r="I33" s="7" t="n">
        <v>1901</v>
      </c>
      <c r="J33" s="7" t="n">
        <v>1636</v>
      </c>
      <c r="K33" s="7" t="n">
        <v>947</v>
      </c>
    </row>
    <row r="34">
      <c r="A34" s="6" t="inlineStr">
        <is>
          <t>Stock-based compensation</t>
        </is>
      </c>
      <c r="B34" s="7" t="n">
        <v>2825</v>
      </c>
      <c r="C34" s="7" t="n">
        <v>1999</v>
      </c>
      <c r="D34" s="7" t="n">
        <v>1812</v>
      </c>
      <c r="E34" s="7" t="n">
        <v>1560</v>
      </c>
      <c r="F34" s="7" t="n">
        <v>2121</v>
      </c>
      <c r="G34" s="7" t="n">
        <v>1734</v>
      </c>
      <c r="H34" s="7" t="n">
        <v>898</v>
      </c>
      <c r="I34" s="7" t="n">
        <v>749</v>
      </c>
      <c r="J34" s="7" t="n">
        <v>467</v>
      </c>
      <c r="K34" s="7" t="n">
        <v>334</v>
      </c>
    </row>
    <row r="35">
      <c r="A35" s="6" t="inlineStr">
        <is>
          <t>Inventory and purchase commitments write-downs</t>
        </is>
      </c>
      <c r="B35" s="7" t="n">
        <v>362</v>
      </c>
      <c r="C35" s="7" t="n">
        <v>335</v>
      </c>
      <c r="D35" s="7" t="n">
        <v>463</v>
      </c>
      <c r="E35" s="7" t="n">
        <v>177</v>
      </c>
      <c r="F35" s="7" t="n">
        <v>140</v>
      </c>
      <c r="G35" s="7" t="n">
        <v>202</v>
      </c>
      <c r="H35" s="7" t="n">
        <v>193</v>
      </c>
      <c r="I35" s="7" t="n">
        <v>85</v>
      </c>
      <c r="J35" s="7" t="n">
        <v>132</v>
      </c>
    </row>
    <row r="36">
      <c r="A36" s="6" t="inlineStr">
        <is>
          <t>Foreign currency transaction net unrealized loss (gain)</t>
        </is>
      </c>
      <c r="B36" s="7" t="n">
        <v>452</v>
      </c>
      <c r="C36" s="7" t="n">
        <v>-73</v>
      </c>
      <c r="D36" s="7" t="n">
        <v>-144</v>
      </c>
      <c r="E36" s="7" t="n">
        <v>81</v>
      </c>
      <c r="F36" s="7" t="n">
        <v>-55</v>
      </c>
      <c r="G36" s="7" t="n">
        <v>114</v>
      </c>
      <c r="H36" s="7" t="n">
        <v>-48</v>
      </c>
    </row>
    <row r="37">
      <c r="A37" s="6" t="inlineStr">
        <is>
          <t>Deferred income taxes</t>
        </is>
      </c>
      <c r="B37" s="7" t="n">
        <v>123</v>
      </c>
      <c r="C37" s="7" t="n">
        <v>477</v>
      </c>
      <c r="D37" s="7" t="n">
        <v>-6349</v>
      </c>
      <c r="E37" s="7" t="n">
        <v>-196</v>
      </c>
      <c r="F37" s="7" t="n">
        <v>-149</v>
      </c>
    </row>
    <row r="38">
      <c r="A38" s="6" t="inlineStr">
        <is>
          <t>Non-cash interest and other operating activities</t>
        </is>
      </c>
      <c r="B38" s="7" t="n">
        <v>272</v>
      </c>
      <c r="C38" s="7" t="n">
        <v>172</v>
      </c>
      <c r="D38" s="7" t="n">
        <v>81</v>
      </c>
      <c r="E38" s="7" t="n">
        <v>340</v>
      </c>
      <c r="F38" s="7" t="n">
        <v>245</v>
      </c>
      <c r="G38" s="7" t="n">
        <v>525</v>
      </c>
      <c r="H38" s="7" t="n">
        <v>520</v>
      </c>
      <c r="I38" s="7" t="n">
        <v>49</v>
      </c>
    </row>
    <row r="39">
      <c r="A39" s="6" t="inlineStr">
        <is>
          <t>Digital assets loss (gain), net</t>
        </is>
      </c>
      <c r="B39" s="7" t="n">
        <v>68</v>
      </c>
      <c r="C39" s="7" t="n">
        <v>-589</v>
      </c>
      <c r="D39" s="7" t="n">
        <v>0</v>
      </c>
      <c r="E39" s="7" t="n">
        <v>140</v>
      </c>
      <c r="F39" s="7" t="n">
        <v>-27</v>
      </c>
      <c r="G39" s="7" t="n">
        <v>0</v>
      </c>
    </row>
    <row r="40">
      <c r="A40" s="5" t="inlineStr">
        <is>
          <t>Changes in operating assets and liabilities:</t>
        </is>
      </c>
    </row>
    <row r="41">
      <c r="A41" s="6" t="inlineStr">
        <is>
          <t>Accounts receivable</t>
        </is>
      </c>
      <c r="B41" s="7" t="n">
        <v>-261</v>
      </c>
      <c r="C41" s="7" t="n">
        <v>-1083</v>
      </c>
      <c r="D41" s="7" t="n">
        <v>-586</v>
      </c>
      <c r="E41" s="7" t="n">
        <v>-1124</v>
      </c>
      <c r="F41" s="7" t="n">
        <v>-130</v>
      </c>
      <c r="G41" s="7" t="n">
        <v>-652</v>
      </c>
      <c r="H41" s="7" t="n">
        <v>-367</v>
      </c>
      <c r="I41" s="7" t="n">
        <v>-497</v>
      </c>
      <c r="J41" s="7" t="n">
        <v>-25</v>
      </c>
      <c r="K41" s="7" t="n">
        <v>-217</v>
      </c>
    </row>
    <row r="42">
      <c r="A42" s="6" t="inlineStr">
        <is>
          <t>Inventory</t>
        </is>
      </c>
      <c r="B42" s="7" t="n">
        <v>-630</v>
      </c>
      <c r="C42" s="7" t="n">
        <v>937</v>
      </c>
      <c r="D42" s="7" t="n">
        <v>-1195</v>
      </c>
      <c r="E42" s="7" t="n">
        <v>-6465</v>
      </c>
      <c r="F42" s="7" t="n">
        <v>-1709</v>
      </c>
      <c r="G42" s="7" t="n">
        <v>-422</v>
      </c>
      <c r="H42" s="7" t="n">
        <v>-429</v>
      </c>
      <c r="I42" s="7" t="n">
        <v>-1023</v>
      </c>
      <c r="J42" s="7" t="n">
        <v>-179</v>
      </c>
      <c r="K42" s="7" t="n">
        <v>-633</v>
      </c>
    </row>
    <row r="43">
      <c r="A43" s="6" t="inlineStr">
        <is>
          <t>Operating lease vehicles</t>
        </is>
      </c>
      <c r="B43" s="7" t="n">
        <v>-25</v>
      </c>
      <c r="C43" s="7" t="n">
        <v>-590</v>
      </c>
      <c r="D43" s="7" t="n">
        <v>-1952</v>
      </c>
      <c r="E43" s="7" t="n">
        <v>-1570</v>
      </c>
      <c r="F43" s="7" t="n">
        <v>-2114</v>
      </c>
      <c r="G43" s="7" t="n">
        <v>-1072</v>
      </c>
      <c r="H43" s="7" t="n">
        <v>-764</v>
      </c>
      <c r="I43" s="7" t="n">
        <v>-215</v>
      </c>
      <c r="J43" s="7" t="n">
        <v>-1523</v>
      </c>
      <c r="K43" s="7" t="n">
        <v>-1833</v>
      </c>
    </row>
    <row r="44">
      <c r="A44" s="6" t="inlineStr">
        <is>
          <t>Prepaid expenses and other current assets</t>
        </is>
      </c>
      <c r="E44" s="7" t="n">
        <v>-1417</v>
      </c>
      <c r="F44" s="7" t="n">
        <v>-271</v>
      </c>
      <c r="G44" s="7" t="n">
        <v>-251</v>
      </c>
      <c r="H44" s="7" t="n">
        <v>-288</v>
      </c>
      <c r="I44" s="7" t="n">
        <v>-82</v>
      </c>
      <c r="J44" s="7" t="n">
        <v>-72</v>
      </c>
      <c r="K44" s="7" t="n">
        <v>57</v>
      </c>
    </row>
    <row r="45">
      <c r="A45" s="6" t="inlineStr">
        <is>
          <t>Other non-current assets</t>
        </is>
      </c>
      <c r="E45" s="7" t="n">
        <v>-2551</v>
      </c>
      <c r="F45" s="7" t="n">
        <v>-1291</v>
      </c>
      <c r="G45" s="7" t="n">
        <v>-344</v>
      </c>
      <c r="H45" s="7" t="n">
        <v>115</v>
      </c>
      <c r="I45" s="7" t="n">
        <v>-207</v>
      </c>
      <c r="J45" s="7" t="n">
        <v>-15</v>
      </c>
    </row>
    <row r="46">
      <c r="A46" s="6" t="inlineStr">
        <is>
          <t>Accounts payable and accrued liabilities</t>
        </is>
      </c>
      <c r="E46" s="7" t="n">
        <v>6029</v>
      </c>
      <c r="F46" s="7" t="n">
        <v>4578</v>
      </c>
      <c r="G46" s="7" t="n">
        <v>2102</v>
      </c>
      <c r="H46" s="7" t="n">
        <v>646</v>
      </c>
      <c r="I46" s="7" t="n">
        <v>1797</v>
      </c>
      <c r="J46" s="7" t="n">
        <v>388</v>
      </c>
      <c r="K46" s="7" t="n">
        <v>751</v>
      </c>
    </row>
    <row r="47">
      <c r="A47" s="6" t="inlineStr">
        <is>
          <t>Prepaid expenses and other assets</t>
        </is>
      </c>
      <c r="B47" s="7" t="n">
        <v>-3181</v>
      </c>
      <c r="C47" s="7" t="n">
        <v>-3273</v>
      </c>
      <c r="D47" s="7" t="n">
        <v>-2652</v>
      </c>
      <c r="E47" s="7" t="n">
        <v>-3713</v>
      </c>
      <c r="F47" s="7" t="n">
        <v>-1540</v>
      </c>
    </row>
    <row r="48">
      <c r="A48" s="6" t="inlineStr">
        <is>
          <t>Accounts payable, accrued and other liabilities</t>
        </is>
      </c>
      <c r="B48" s="7" t="n">
        <v>4376</v>
      </c>
      <c r="C48" s="7" t="n">
        <v>3588</v>
      </c>
      <c r="D48" s="7" t="n">
        <v>2605</v>
      </c>
      <c r="E48" s="7" t="n">
        <v>8029</v>
      </c>
      <c r="F48" s="7" t="n">
        <v>5367</v>
      </c>
    </row>
    <row r="49">
      <c r="A49" s="6" t="inlineStr">
        <is>
          <t>Deferred revenue</t>
        </is>
      </c>
      <c r="B49" s="7" t="n">
        <v>363</v>
      </c>
      <c r="C49" s="7" t="n">
        <v>502</v>
      </c>
      <c r="D49" s="7" t="n">
        <v>1532</v>
      </c>
      <c r="E49" s="7" t="n">
        <v>1131</v>
      </c>
      <c r="F49" s="7" t="n">
        <v>793</v>
      </c>
      <c r="G49" s="7" t="n">
        <v>321</v>
      </c>
      <c r="H49" s="7" t="n">
        <v>801</v>
      </c>
      <c r="I49" s="7" t="n">
        <v>406</v>
      </c>
      <c r="J49" s="7" t="n">
        <v>469</v>
      </c>
      <c r="K49" s="7" t="n">
        <v>383</v>
      </c>
    </row>
    <row r="50">
      <c r="A50" s="6" t="inlineStr">
        <is>
          <t>Customer deposits</t>
        </is>
      </c>
      <c r="E50" s="7" t="n">
        <v>155</v>
      </c>
      <c r="F50" s="7" t="n">
        <v>186</v>
      </c>
      <c r="G50" s="7" t="n">
        <v>7</v>
      </c>
      <c r="H50" s="7" t="n">
        <v>-58</v>
      </c>
      <c r="I50" s="7" t="n">
        <v>-96</v>
      </c>
      <c r="J50" s="7" t="n">
        <v>170</v>
      </c>
      <c r="K50" s="7" t="n">
        <v>388</v>
      </c>
    </row>
    <row r="51">
      <c r="A51" s="6" t="inlineStr">
        <is>
          <t>Other long-term liabilities</t>
        </is>
      </c>
      <c r="E51" s="7" t="n">
        <v>1904</v>
      </c>
      <c r="F51" s="7" t="n">
        <v>476</v>
      </c>
      <c r="G51" s="7" t="n">
        <v>495</v>
      </c>
      <c r="H51" s="7" t="n">
        <v>-5</v>
      </c>
      <c r="I51" s="7" t="n">
        <v>-25</v>
      </c>
      <c r="J51" s="7" t="n">
        <v>81</v>
      </c>
      <c r="K51" s="7" t="n">
        <v>132</v>
      </c>
    </row>
    <row r="52">
      <c r="A52" s="6" t="inlineStr">
        <is>
          <t>Net cash provided by operating activities</t>
        </is>
      </c>
      <c r="B52" s="7" t="n">
        <v>14747</v>
      </c>
      <c r="C52" s="7" t="n">
        <v>14923</v>
      </c>
      <c r="D52" s="7" t="n">
        <v>13256</v>
      </c>
      <c r="E52" s="7" t="n">
        <v>14724</v>
      </c>
      <c r="F52" s="7" t="n">
        <v>11497</v>
      </c>
      <c r="G52" s="7" t="n">
        <v>5943</v>
      </c>
      <c r="H52" s="7" t="n">
        <v>2405</v>
      </c>
      <c r="I52" s="7" t="n">
        <v>2098</v>
      </c>
      <c r="J52" s="7" t="n">
        <v>-61</v>
      </c>
      <c r="K52" s="7" t="n">
        <v>-124</v>
      </c>
    </row>
    <row r="53">
      <c r="A53" s="5" t="inlineStr">
        <is>
          <t>Cash Flows from Investing Activities</t>
        </is>
      </c>
    </row>
    <row r="54">
      <c r="A54" s="6" t="inlineStr">
        <is>
          <t>Purchases of short-term investments and marketable securities</t>
        </is>
      </c>
      <c r="K54" s="7" t="n">
        <v>0</v>
      </c>
    </row>
    <row r="55">
      <c r="A55" s="6" t="inlineStr">
        <is>
          <t>Maturities of short-term marketable securities</t>
        </is>
      </c>
      <c r="K55" s="7" t="n">
        <v>0</v>
      </c>
    </row>
    <row r="56">
      <c r="A56" s="6" t="inlineStr">
        <is>
          <t>Cash acquired through (used in) business combinations</t>
        </is>
      </c>
      <c r="K56" s="7" t="n">
        <v>214</v>
      </c>
    </row>
    <row r="57">
      <c r="A57" s="6" t="inlineStr">
        <is>
          <t>Purchases of solar energy systems, leased and to be leased</t>
        </is>
      </c>
      <c r="I57" s="7" t="n">
        <v>-219</v>
      </c>
      <c r="J57" s="7" t="n">
        <v>-667</v>
      </c>
      <c r="K57" s="7" t="n">
        <v>-160</v>
      </c>
    </row>
    <row r="58">
      <c r="A58" s="6" t="inlineStr">
        <is>
          <t>Increases in restricted cash</t>
        </is>
      </c>
      <c r="J58" s="7" t="n">
        <v>-223</v>
      </c>
      <c r="K58" s="7" t="n">
        <v>-206</v>
      </c>
    </row>
    <row r="59">
      <c r="A59" s="6" t="inlineStr">
        <is>
          <t>Purchases of property and equipment excluding finance leases, net of sales</t>
        </is>
      </c>
      <c r="B59" s="7" t="n">
        <v>-8527</v>
      </c>
      <c r="C59" s="7" t="n">
        <v>-11342</v>
      </c>
      <c r="D59" s="7" t="n">
        <v>-8899</v>
      </c>
      <c r="E59" s="7" t="n">
        <v>-7158</v>
      </c>
      <c r="F59" s="7" t="n">
        <v>-6482</v>
      </c>
      <c r="G59" s="7" t="n">
        <v>-3157</v>
      </c>
      <c r="H59" s="7" t="n">
        <v>-1327</v>
      </c>
      <c r="I59" s="7" t="n">
        <v>-2101</v>
      </c>
      <c r="J59" s="7" t="n">
        <v>-3415</v>
      </c>
      <c r="K59" s="7" t="n">
        <v>-1281</v>
      </c>
    </row>
    <row r="60">
      <c r="A60" s="6" t="inlineStr">
        <is>
          <t>Purchases of solar energy systems, net of sales</t>
        </is>
      </c>
      <c r="C60" s="7" t="n">
        <v>-3</v>
      </c>
      <c r="D60" s="7" t="n">
        <v>-1</v>
      </c>
      <c r="E60" s="7" t="n">
        <v>-5</v>
      </c>
      <c r="F60" s="7" t="n">
        <v>-32</v>
      </c>
      <c r="G60" s="7" t="n">
        <v>-75</v>
      </c>
      <c r="H60" s="7" t="n">
        <v>-105</v>
      </c>
      <c r="I60" s="7" t="n">
        <v>-218</v>
      </c>
      <c r="J60" s="7" t="n">
        <v>-666</v>
      </c>
    </row>
    <row r="61">
      <c r="A61" s="6" t="inlineStr">
        <is>
          <t>Purchases of digital assets</t>
        </is>
      </c>
      <c r="D61" s="7" t="n">
        <v>0</v>
      </c>
      <c r="E61" s="7" t="n">
        <v>0</v>
      </c>
      <c r="F61" s="7" t="n">
        <v>-1500</v>
      </c>
      <c r="G61" s="7" t="n">
        <v>0</v>
      </c>
      <c r="H61" s="7" t="n">
        <v>0</v>
      </c>
    </row>
    <row r="62">
      <c r="A62" s="6" t="inlineStr">
        <is>
          <t>Proceeds from sales of digital assets</t>
        </is>
      </c>
      <c r="C62" s="7" t="n">
        <v>0</v>
      </c>
      <c r="D62" s="7" t="n">
        <v>0</v>
      </c>
      <c r="E62" s="7" t="n">
        <v>936</v>
      </c>
      <c r="F62" s="7" t="n">
        <v>272</v>
      </c>
      <c r="G62" s="7" t="n">
        <v>0</v>
      </c>
      <c r="H62" s="7" t="n">
        <v>0</v>
      </c>
    </row>
    <row r="63">
      <c r="A63" s="6" t="inlineStr">
        <is>
          <t>Purchase of intangible assets</t>
        </is>
      </c>
      <c r="C63" s="7" t="n">
        <v>0</v>
      </c>
      <c r="D63" s="7" t="n">
        <v>0</v>
      </c>
      <c r="E63" s="7" t="n">
        <v>-9</v>
      </c>
      <c r="F63" s="7" t="n">
        <v>0</v>
      </c>
      <c r="G63" s="7" t="n">
        <v>-10</v>
      </c>
      <c r="H63" s="7" t="n">
        <v>-5</v>
      </c>
      <c r="I63" s="7" t="n">
        <v>0</v>
      </c>
      <c r="J63" s="7" t="n">
        <v>0</v>
      </c>
      <c r="K63" s="7" t="n">
        <v>17</v>
      </c>
    </row>
    <row r="64">
      <c r="A64" s="6" t="inlineStr">
        <is>
          <t>Purchases of investments</t>
        </is>
      </c>
      <c r="B64" s="7" t="n">
        <v>-37109</v>
      </c>
      <c r="C64" s="7" t="n">
        <v>-35955</v>
      </c>
      <c r="D64" s="7" t="n">
        <v>-19112</v>
      </c>
      <c r="E64" s="7" t="n">
        <v>-5835</v>
      </c>
      <c r="F64" s="7" t="n">
        <v>-132</v>
      </c>
      <c r="G64" s="7" t="n">
        <v>0</v>
      </c>
      <c r="H64" s="7" t="n">
        <v>0</v>
      </c>
    </row>
    <row r="65">
      <c r="A65" s="6" t="inlineStr">
        <is>
          <t>Proceeds from maturities of investments</t>
        </is>
      </c>
      <c r="B65" s="7" t="n">
        <v>30158</v>
      </c>
      <c r="C65" s="7" t="n">
        <v>28310</v>
      </c>
      <c r="D65" s="7" t="n">
        <v>12353</v>
      </c>
      <c r="E65" s="7" t="n">
        <v>22</v>
      </c>
      <c r="F65" s="7" t="n">
        <v>0</v>
      </c>
      <c r="G65" s="7" t="n">
        <v>0</v>
      </c>
    </row>
    <row r="66">
      <c r="A66" s="6" t="inlineStr">
        <is>
          <t>Proceeds from sales of investments</t>
        </is>
      </c>
      <c r="B66" s="7" t="n">
        <v>0</v>
      </c>
      <c r="C66" s="7" t="n">
        <v>200</v>
      </c>
      <c r="D66" s="7" t="n">
        <v>138</v>
      </c>
      <c r="E66" s="7" t="n">
        <v>0</v>
      </c>
      <c r="F66" s="7" t="n">
        <v>0</v>
      </c>
    </row>
    <row r="67">
      <c r="A67" s="6" t="inlineStr">
        <is>
          <t>Receipt of government grants</t>
        </is>
      </c>
      <c r="C67" s="7" t="n">
        <v>0</v>
      </c>
      <c r="D67" s="7" t="n">
        <v>0</v>
      </c>
      <c r="E67" s="7" t="n">
        <v>76</v>
      </c>
      <c r="F67" s="7" t="n">
        <v>6</v>
      </c>
      <c r="G67" s="7" t="n">
        <v>123</v>
      </c>
      <c r="H67" s="7" t="n">
        <v>46</v>
      </c>
      <c r="I67" s="7" t="n">
        <v>0</v>
      </c>
      <c r="J67" s="7" t="n">
        <v>0</v>
      </c>
    </row>
    <row r="68">
      <c r="A68" s="6" t="inlineStr">
        <is>
          <t>Business combinations, net of cash acquired</t>
        </is>
      </c>
      <c r="B68" s="7" t="n">
        <v>0</v>
      </c>
      <c r="C68" s="7" t="n">
        <v>0</v>
      </c>
      <c r="D68" s="7" t="n">
        <v>-64</v>
      </c>
      <c r="E68" s="7" t="n">
        <v>0</v>
      </c>
      <c r="F68" s="7" t="n">
        <v>0</v>
      </c>
      <c r="G68" s="7" t="n">
        <v>-13</v>
      </c>
      <c r="H68" s="7" t="n">
        <v>-45</v>
      </c>
      <c r="I68" s="7" t="n">
        <v>-18</v>
      </c>
      <c r="J68" s="7" t="n">
        <v>-115</v>
      </c>
      <c r="K68" s="7" t="n">
        <v>343</v>
      </c>
    </row>
    <row r="69">
      <c r="A69" s="6" t="inlineStr">
        <is>
          <t>Net cash used in investing activities</t>
        </is>
      </c>
      <c r="B69" s="7" t="n">
        <v>-15478</v>
      </c>
      <c r="C69" s="7" t="n">
        <v>-18787</v>
      </c>
      <c r="D69" s="7" t="n">
        <v>-15584</v>
      </c>
      <c r="E69" s="7" t="n">
        <v>-11973</v>
      </c>
      <c r="F69" s="7" t="n">
        <v>-7868</v>
      </c>
      <c r="G69" s="7" t="n">
        <v>-3132</v>
      </c>
      <c r="H69" s="7" t="n">
        <v>-1436</v>
      </c>
      <c r="I69" s="7" t="n">
        <v>-2337</v>
      </c>
      <c r="J69" s="7" t="n">
        <v>-4196</v>
      </c>
      <c r="K69" s="7" t="n">
        <v>-1081</v>
      </c>
    </row>
    <row r="70">
      <c r="A70" s="5" t="inlineStr">
        <is>
          <t>Cash Flows from Financing Activities</t>
        </is>
      </c>
    </row>
    <row r="71">
      <c r="A71" s="6" t="inlineStr">
        <is>
          <t>Proceeds from issuances of common stock in public offerings, net of issuance costs</t>
        </is>
      </c>
      <c r="E71" s="7" t="n">
        <v>0</v>
      </c>
      <c r="F71" s="7" t="n">
        <v>0</v>
      </c>
      <c r="G71" s="7" t="n">
        <v>12269</v>
      </c>
      <c r="H71" s="7" t="n">
        <v>848</v>
      </c>
      <c r="I71" s="7" t="n">
        <v>0</v>
      </c>
      <c r="J71" s="7" t="n">
        <v>400</v>
      </c>
      <c r="K71" s="7" t="n">
        <v>1702</v>
      </c>
    </row>
    <row r="72">
      <c r="A72" s="6" t="inlineStr">
        <is>
          <t>Proceeds from issuances of debt</t>
        </is>
      </c>
      <c r="B72" s="7" t="n">
        <v>5586</v>
      </c>
      <c r="C72" s="7" t="n">
        <v>5744</v>
      </c>
      <c r="D72" s="7" t="n">
        <v>3931</v>
      </c>
      <c r="E72" s="7" t="n">
        <v>0</v>
      </c>
      <c r="F72" s="7" t="n">
        <v>8883</v>
      </c>
      <c r="G72" s="7" t="n">
        <v>9713</v>
      </c>
      <c r="H72" s="7" t="n">
        <v>10669</v>
      </c>
      <c r="I72" s="7" t="n">
        <v>6176</v>
      </c>
      <c r="J72" s="7" t="n">
        <v>7138</v>
      </c>
      <c r="K72" s="7" t="n">
        <v>2853</v>
      </c>
    </row>
    <row r="73">
      <c r="A73" s="6" t="inlineStr">
        <is>
          <t>Repayments of borrowings issued to related parties</t>
        </is>
      </c>
      <c r="G73" s="7" t="n">
        <v>0</v>
      </c>
      <c r="H73" s="7" t="n">
        <v>0</v>
      </c>
      <c r="I73" s="7" t="n">
        <v>-100</v>
      </c>
      <c r="J73" s="7" t="n">
        <v>-165</v>
      </c>
      <c r="K73" s="7" t="n">
        <v>0</v>
      </c>
    </row>
    <row r="74">
      <c r="A74" s="6" t="inlineStr">
        <is>
          <t>Repayments of debt</t>
        </is>
      </c>
      <c r="B74" s="7" t="n">
        <v>-5546</v>
      </c>
      <c r="C74" s="7" t="n">
        <v>-2500</v>
      </c>
      <c r="D74" s="7" t="n">
        <v>-1351</v>
      </c>
      <c r="E74" s="7" t="n">
        <v>-3364</v>
      </c>
      <c r="F74" s="7" t="n">
        <v>-14167</v>
      </c>
      <c r="G74" s="7" t="n">
        <v>-11623</v>
      </c>
      <c r="H74" s="7" t="n">
        <v>-9161</v>
      </c>
      <c r="I74" s="7" t="n">
        <v>-5247</v>
      </c>
      <c r="J74" s="7" t="n">
        <v>-3996</v>
      </c>
      <c r="K74" s="7" t="n">
        <v>-1858</v>
      </c>
    </row>
    <row r="75">
      <c r="A75" s="6" t="inlineStr">
        <is>
          <t>Proceeds from exercises of stock options and other stock issuances, net of issuance costs</t>
        </is>
      </c>
      <c r="B75" s="7" t="n">
        <v>1186</v>
      </c>
      <c r="C75" s="7" t="n">
        <v>1241</v>
      </c>
      <c r="D75" s="7" t="n">
        <v>700</v>
      </c>
      <c r="E75" s="7" t="n">
        <v>541</v>
      </c>
      <c r="F75" s="7" t="n">
        <v>707</v>
      </c>
      <c r="G75" s="7" t="n">
        <v>417</v>
      </c>
      <c r="H75" s="7" t="n">
        <v>263</v>
      </c>
      <c r="I75" s="7" t="n">
        <v>296</v>
      </c>
      <c r="J75" s="7" t="n">
        <v>259</v>
      </c>
      <c r="K75" s="7" t="n">
        <v>164</v>
      </c>
    </row>
    <row r="76">
      <c r="A76" s="6" t="inlineStr">
        <is>
          <t>Principal payments on finance leases</t>
        </is>
      </c>
      <c r="B76" s="7" t="n">
        <v>-104</v>
      </c>
      <c r="C76" s="7" t="n">
        <v>-381</v>
      </c>
      <c r="D76" s="7" t="n">
        <v>-464</v>
      </c>
      <c r="E76" s="7" t="n">
        <v>-502</v>
      </c>
      <c r="F76" s="7" t="n">
        <v>-439</v>
      </c>
      <c r="G76" s="7" t="n">
        <v>-338</v>
      </c>
      <c r="H76" s="7" t="n">
        <v>-321</v>
      </c>
      <c r="I76" s="7" t="n">
        <v>-181</v>
      </c>
      <c r="J76" s="7" t="n">
        <v>-103</v>
      </c>
      <c r="K76" s="7" t="n">
        <v>-47</v>
      </c>
    </row>
    <row r="77">
      <c r="A77" s="6" t="inlineStr">
        <is>
          <t>Proceeds received from directors in shareholder settlement</t>
        </is>
      </c>
      <c r="B77" s="7" t="n">
        <v>277</v>
      </c>
      <c r="C77" s="7" t="n">
        <v>0</v>
      </c>
      <c r="D77" s="7" t="n">
        <v>0</v>
      </c>
      <c r="E77" s="7" t="n">
        <v>0</v>
      </c>
      <c r="F77" s="7" t="n">
        <v>-9</v>
      </c>
      <c r="G77" s="7" t="n">
        <v>-240</v>
      </c>
      <c r="H77" s="7" t="n">
        <v>-389</v>
      </c>
      <c r="I77" s="7" t="n">
        <v>-559</v>
      </c>
      <c r="J77" s="7" t="n">
        <v>511</v>
      </c>
      <c r="K77" s="7" t="n">
        <v>770</v>
      </c>
    </row>
    <row r="78">
      <c r="A78" s="6" t="inlineStr">
        <is>
          <t>Payment of legal fees associated with shareholder settlement</t>
        </is>
      </c>
      <c r="B78" s="7" t="n">
        <v>-176</v>
      </c>
      <c r="C78" s="7" t="n">
        <v>0</v>
      </c>
      <c r="D78" s="7" t="n">
        <v>0</v>
      </c>
      <c r="E78" s="7" t="n">
        <v>0</v>
      </c>
      <c r="F78" s="7" t="n">
        <v>2</v>
      </c>
      <c r="G78" s="7" t="n">
        <v>24</v>
      </c>
      <c r="H78" s="7" t="n">
        <v>279</v>
      </c>
      <c r="I78" s="7" t="n">
        <v>437</v>
      </c>
      <c r="J78" s="7" t="n">
        <v>790</v>
      </c>
      <c r="K78" s="7" t="n">
        <v>202</v>
      </c>
    </row>
    <row r="79">
      <c r="A79" s="6" t="inlineStr">
        <is>
          <t>Debt issuance costs</t>
        </is>
      </c>
      <c r="B79" s="7" t="n">
        <v>-6</v>
      </c>
      <c r="C79" s="7" t="n">
        <v>-14</v>
      </c>
      <c r="D79" s="7" t="n">
        <v>-29</v>
      </c>
      <c r="E79" s="7" t="n">
        <v>0</v>
      </c>
      <c r="F79" s="7" t="n">
        <v>-9</v>
      </c>
      <c r="G79" s="7" t="n">
        <v>-6</v>
      </c>
      <c r="H79" s="7" t="n">
        <v>-37</v>
      </c>
      <c r="I79" s="7" t="n">
        <v>-15</v>
      </c>
      <c r="J79" s="7" t="n">
        <v>-63</v>
      </c>
      <c r="K79" s="7" t="n">
        <v>-20</v>
      </c>
    </row>
    <row r="80">
      <c r="A80" s="6" t="inlineStr">
        <is>
          <t>Purchase of convertible note hedges</t>
        </is>
      </c>
      <c r="F80" s="7" t="n">
        <v>0</v>
      </c>
      <c r="G80" s="7" t="n">
        <v>0</v>
      </c>
      <c r="H80" s="7" t="n">
        <v>-476</v>
      </c>
      <c r="I80" s="7" t="n">
        <v>0</v>
      </c>
      <c r="J80" s="7" t="n">
        <v>-204</v>
      </c>
      <c r="K80" s="7" t="n">
        <v>0</v>
      </c>
    </row>
    <row r="81">
      <c r="A81" s="6" t="inlineStr">
        <is>
          <t>Proceeds from settlement of convertible note hedges</t>
        </is>
      </c>
      <c r="H81" s="7" t="n">
        <v>0</v>
      </c>
      <c r="I81" s="7" t="n">
        <v>0</v>
      </c>
      <c r="J81" s="7" t="n">
        <v>287</v>
      </c>
      <c r="K81" s="7" t="n">
        <v>0</v>
      </c>
    </row>
    <row r="82">
      <c r="A82" s="6" t="inlineStr">
        <is>
          <t>Proceeds from issuance of warrants</t>
        </is>
      </c>
      <c r="F82" s="7" t="n">
        <v>0</v>
      </c>
      <c r="G82" s="7" t="n">
        <v>0</v>
      </c>
      <c r="H82" s="7" t="n">
        <v>174</v>
      </c>
      <c r="I82" s="7" t="n">
        <v>0</v>
      </c>
      <c r="J82" s="7" t="n">
        <v>53</v>
      </c>
      <c r="K82" s="7" t="n">
        <v>0</v>
      </c>
    </row>
    <row r="83">
      <c r="A83" s="6" t="inlineStr">
        <is>
          <t>Payments for settlements of warrants</t>
        </is>
      </c>
      <c r="H83" s="7" t="n">
        <v>0</v>
      </c>
      <c r="I83" s="7" t="n">
        <v>0</v>
      </c>
      <c r="J83" s="7" t="n">
        <v>-230</v>
      </c>
      <c r="K83" s="7" t="n">
        <v>0</v>
      </c>
    </row>
    <row r="84">
      <c r="A84" s="6" t="inlineStr">
        <is>
          <t>Distributions paid to noncontrolling interests in subsidiaries</t>
        </is>
      </c>
      <c r="B84" s="7" t="n">
        <v>-78</v>
      </c>
      <c r="C84" s="7" t="n">
        <v>-104</v>
      </c>
      <c r="D84" s="7" t="n">
        <v>-144</v>
      </c>
      <c r="E84" s="7" t="n">
        <v>-157</v>
      </c>
      <c r="F84" s="7" t="n">
        <v>-161</v>
      </c>
      <c r="G84" s="7" t="n">
        <v>-208</v>
      </c>
      <c r="H84" s="7" t="n">
        <v>-311</v>
      </c>
      <c r="I84" s="7" t="n">
        <v>-227</v>
      </c>
      <c r="J84" s="7" t="n">
        <v>-262</v>
      </c>
      <c r="K84" s="7" t="n">
        <v>-21</v>
      </c>
    </row>
    <row r="85">
      <c r="A85" s="6" t="inlineStr">
        <is>
          <t>Payments for buy-outs of noncontrolling interests in subsidiaries</t>
        </is>
      </c>
      <c r="B85" s="7" t="n">
        <v>0</v>
      </c>
      <c r="C85" s="7" t="n">
        <v>-133</v>
      </c>
      <c r="D85" s="7" t="n">
        <v>-54</v>
      </c>
      <c r="E85" s="7" t="n">
        <v>-45</v>
      </c>
      <c r="F85" s="7" t="n">
        <v>-10</v>
      </c>
      <c r="G85" s="7" t="n">
        <v>-35</v>
      </c>
      <c r="H85" s="7" t="n">
        <v>-9</v>
      </c>
      <c r="I85" s="7" t="n">
        <v>-6</v>
      </c>
      <c r="J85" s="7" t="n">
        <v>0</v>
      </c>
      <c r="K85" s="7" t="n">
        <v>0</v>
      </c>
    </row>
    <row r="86">
      <c r="A86" s="6" t="inlineStr">
        <is>
          <t>Net cash provided by financing activities</t>
        </is>
      </c>
      <c r="B86" s="7" t="n">
        <v>1139</v>
      </c>
      <c r="C86" s="7" t="n">
        <v>3853</v>
      </c>
      <c r="D86" s="7" t="n">
        <v>2589</v>
      </c>
      <c r="E86" s="7" t="n">
        <v>-3527</v>
      </c>
      <c r="F86" s="7" t="n">
        <v>-5203</v>
      </c>
      <c r="G86" s="7" t="n">
        <v>9973</v>
      </c>
      <c r="H86" s="7" t="n">
        <v>1529</v>
      </c>
      <c r="I86" s="7" t="n">
        <v>574</v>
      </c>
      <c r="J86" s="7" t="n">
        <v>4415</v>
      </c>
      <c r="K86" s="7" t="n">
        <v>3744</v>
      </c>
    </row>
    <row r="87">
      <c r="A87" s="6" t="inlineStr">
        <is>
          <t>Effect of exchange rate changes on cash and cash equivalents</t>
        </is>
      </c>
      <c r="J87" s="7" t="n">
        <v>39</v>
      </c>
      <c r="K87" s="7" t="n">
        <v>-7</v>
      </c>
    </row>
    <row r="88">
      <c r="A88" s="5" t="inlineStr">
        <is>
          <t>Supplemental noncash investing activities</t>
        </is>
      </c>
    </row>
    <row r="89">
      <c r="A89" s="6" t="inlineStr">
        <is>
          <t>Shares issued in connection of business combination and assumed vested awards</t>
        </is>
      </c>
      <c r="K89" s="7" t="n">
        <v>2146</v>
      </c>
    </row>
    <row r="90">
      <c r="A90" s="6" t="inlineStr">
        <is>
          <t>Acquisition of property and equipment included in accounts payable and accrued liabilities</t>
        </is>
      </c>
      <c r="K90" s="7" t="n">
        <v>664</v>
      </c>
    </row>
    <row r="91">
      <c r="A91" s="6" t="inlineStr">
        <is>
          <t>Estimated fair value of facilities under build-to-suit lease</t>
        </is>
      </c>
      <c r="K91" s="7" t="n">
        <v>308</v>
      </c>
    </row>
    <row r="92">
      <c r="A92" s="6" t="inlineStr">
        <is>
          <t>Net (decrease) increase in cash and cash equivalents</t>
        </is>
      </c>
      <c r="J92" s="7" t="n">
        <v>-25</v>
      </c>
      <c r="K92" s="7" t="n">
        <v>2196</v>
      </c>
    </row>
    <row r="93">
      <c r="A93" s="6" t="inlineStr">
        <is>
          <t>Effect of exchange rate changes on cash and cash equivalents and restricted cash</t>
        </is>
      </c>
      <c r="B93" s="7" t="n">
        <v>171</v>
      </c>
      <c r="C93" s="7" t="n">
        <v>-141</v>
      </c>
      <c r="D93" s="7" t="n">
        <v>4</v>
      </c>
      <c r="E93" s="7" t="n">
        <v>-444</v>
      </c>
      <c r="F93" s="7" t="n">
        <v>-183</v>
      </c>
      <c r="G93" s="7" t="n">
        <v>334</v>
      </c>
      <c r="H93" s="7" t="n">
        <v>8</v>
      </c>
      <c r="I93" s="7" t="n">
        <v>-23</v>
      </c>
      <c r="J93" s="7" t="n">
        <v>40</v>
      </c>
      <c r="K93" s="7" t="n">
        <v>-7</v>
      </c>
    </row>
    <row r="94">
      <c r="A94" s="6" t="inlineStr">
        <is>
          <t>Net increase (decrease) in cash and cash equivalents and restricted cash</t>
        </is>
      </c>
      <c r="B94" s="7" t="n">
        <v>579</v>
      </c>
      <c r="C94" s="7" t="n">
        <v>-152</v>
      </c>
      <c r="D94" s="7" t="n">
        <v>265</v>
      </c>
      <c r="E94" s="7" t="n">
        <v>-1220</v>
      </c>
      <c r="F94" s="7" t="n">
        <v>-1757</v>
      </c>
      <c r="G94" s="7" t="n">
        <v>13118</v>
      </c>
      <c r="H94" s="7" t="n">
        <v>2506</v>
      </c>
      <c r="I94" s="7" t="n">
        <v>312</v>
      </c>
      <c r="J94" s="7" t="n">
        <v>198</v>
      </c>
      <c r="K94" s="7" t="n">
        <v>2533</v>
      </c>
    </row>
    <row r="95">
      <c r="A95" s="6" t="inlineStr">
        <is>
          <t>Cash and cash equivalents and restricted cash, beginning of period</t>
        </is>
      </c>
      <c r="B95" s="7" t="n">
        <v>17037</v>
      </c>
      <c r="C95" s="7" t="n">
        <v>17189</v>
      </c>
      <c r="D95" s="7" t="n">
        <v>16924</v>
      </c>
      <c r="E95" s="7" t="n">
        <v>18144</v>
      </c>
      <c r="F95" s="7" t="n">
        <v>19901</v>
      </c>
      <c r="G95" s="7" t="n">
        <v>6783</v>
      </c>
      <c r="H95" s="7" t="n">
        <v>4277</v>
      </c>
      <c r="I95" s="7" t="n">
        <v>3965</v>
      </c>
      <c r="J95" s="7" t="n">
        <v>3767</v>
      </c>
      <c r="K95" s="7" t="n">
        <v>1234</v>
      </c>
    </row>
    <row r="96">
      <c r="A96" s="6" t="inlineStr">
        <is>
          <t>Cash and cash equivalents and restricted cash, end of period</t>
        </is>
      </c>
      <c r="B96" s="7" t="n">
        <v>17616</v>
      </c>
      <c r="C96" s="7" t="n">
        <v>17037</v>
      </c>
      <c r="D96" s="7" t="n">
        <v>17189</v>
      </c>
      <c r="E96" s="7" t="n">
        <v>16924</v>
      </c>
      <c r="F96" s="7" t="n">
        <v>18144</v>
      </c>
      <c r="G96" s="7" t="n">
        <v>19901</v>
      </c>
      <c r="H96" s="7" t="n">
        <v>6783</v>
      </c>
      <c r="I96" s="7" t="n">
        <v>4277</v>
      </c>
      <c r="J96" s="7" t="n">
        <v>3965</v>
      </c>
      <c r="K96" s="7" t="n">
        <v>3767</v>
      </c>
    </row>
    <row r="97">
      <c r="A97" s="5" t="inlineStr">
        <is>
          <t>Supplemental Non-Cash Investing and Financing Activities</t>
        </is>
      </c>
    </row>
    <row r="98">
      <c r="A98" s="6" t="inlineStr">
        <is>
          <t>Shares issued in connection with business combinations and assumed vested awards</t>
        </is>
      </c>
      <c r="I98" s="7" t="n">
        <v>0</v>
      </c>
      <c r="J98" s="7" t="n">
        <v>11</v>
      </c>
      <c r="K98" s="7" t="n">
        <v>2146</v>
      </c>
    </row>
    <row r="99">
      <c r="A99" s="6" t="inlineStr">
        <is>
          <t>Equity issued in connection with business combination</t>
        </is>
      </c>
      <c r="F99" s="7" t="n">
        <v>0</v>
      </c>
      <c r="G99" s="7" t="n">
        <v>0</v>
      </c>
      <c r="H99" s="7" t="n">
        <v>207</v>
      </c>
      <c r="I99" s="7" t="n">
        <v>0</v>
      </c>
      <c r="J99" s="7" t="n">
        <v>0</v>
      </c>
    </row>
    <row r="100">
      <c r="A100" s="6" t="inlineStr">
        <is>
          <t>Acquisitions of property and equipment included in liabilities</t>
        </is>
      </c>
      <c r="B100" s="7" t="n">
        <v>1913</v>
      </c>
      <c r="C100" s="7" t="n">
        <v>1410</v>
      </c>
      <c r="D100" s="7" t="n">
        <v>2272</v>
      </c>
      <c r="E100" s="7" t="n">
        <v>2148</v>
      </c>
      <c r="F100" s="7" t="n">
        <v>2251</v>
      </c>
      <c r="G100" s="7" t="n">
        <v>1088</v>
      </c>
      <c r="H100" s="7" t="n">
        <v>562</v>
      </c>
      <c r="I100" s="7" t="n">
        <v>249</v>
      </c>
      <c r="J100" s="7" t="n">
        <v>914</v>
      </c>
      <c r="K100" s="7" t="n">
        <v>664</v>
      </c>
    </row>
    <row r="101">
      <c r="A101" s="6" t="inlineStr">
        <is>
          <t>Estimated fair value of facilities under build-to-suit leases</t>
        </is>
      </c>
      <c r="G101" s="7" t="n">
        <v>0</v>
      </c>
      <c r="H101" s="7" t="n">
        <v>0</v>
      </c>
      <c r="I101" s="7" t="n">
        <v>94</v>
      </c>
      <c r="J101" s="7" t="n">
        <v>313</v>
      </c>
      <c r="K101" s="7" t="n">
        <v>308</v>
      </c>
    </row>
    <row r="102">
      <c r="A102" s="5" t="inlineStr">
        <is>
          <t>Supplemental Disclosures</t>
        </is>
      </c>
    </row>
    <row r="103">
      <c r="A103" s="6" t="inlineStr">
        <is>
          <t>Cash paid during the period for interest</t>
        </is>
      </c>
      <c r="B103" s="7" t="n">
        <v>292</v>
      </c>
      <c r="C103" s="7" t="n">
        <v>277</v>
      </c>
      <c r="D103" s="7" t="n">
        <v>126</v>
      </c>
      <c r="E103" s="7" t="n">
        <v>152</v>
      </c>
      <c r="F103" s="7" t="n">
        <v>266</v>
      </c>
      <c r="G103" s="7" t="n">
        <v>444</v>
      </c>
      <c r="H103" s="7" t="n">
        <v>455</v>
      </c>
      <c r="I103" s="7" t="n">
        <v>381</v>
      </c>
      <c r="J103" s="7" t="n">
        <v>183</v>
      </c>
      <c r="K103" s="7" t="n">
        <v>39</v>
      </c>
    </row>
    <row r="104">
      <c r="A104" s="6" t="inlineStr">
        <is>
          <t>Cash paid during the period for income taxes, net of refunds</t>
        </is>
      </c>
      <c r="C104" s="7" t="n">
        <v>1331</v>
      </c>
      <c r="D104" s="7" t="n">
        <v>1119</v>
      </c>
      <c r="E104" s="7" t="n">
        <v>1203</v>
      </c>
      <c r="F104" s="7" t="n">
        <v>561</v>
      </c>
      <c r="G104" s="7" t="n">
        <v>115</v>
      </c>
      <c r="H104" s="7" t="n">
        <v>54</v>
      </c>
      <c r="I104" s="7" t="n">
        <v>35</v>
      </c>
      <c r="J104" s="7" t="n">
        <v>66</v>
      </c>
      <c r="K104" s="7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7" customWidth="1" min="14" max="14"/>
    <col width="15" customWidth="1" min="15" max="15"/>
    <col width="18" customWidth="1" min="16" max="16"/>
    <col width="16" customWidth="1" min="17" max="17"/>
    <col width="18" customWidth="1" min="18" max="18"/>
    <col width="16" customWidth="1" min="19" max="19"/>
  </cols>
  <sheetData>
    <row r="1">
      <c r="A1" s="1" t="inlineStr">
        <is>
          <t>TESLA, INC. - LOUGHRAN-MCDONALD FINANCIAL SENTIMENT ANALYSIS</t>
        </is>
      </c>
    </row>
    <row r="2">
      <c r="A2" s="2" t="inlineStr">
        <is>
          <t>Dictionary: Loughran-McDonald_MasterDictionary_1993-2025.csv | Source: Item 7 MD&amp;A Cleaned Text</t>
        </is>
      </c>
    </row>
    <row r="4">
      <c r="A4" s="9" t="inlineStr">
        <is>
          <t>Fiscal Year</t>
        </is>
      </c>
      <c r="B4" s="4" t="inlineStr">
        <is>
          <t>Total Words</t>
        </is>
      </c>
      <c r="C4" s="4" t="inlineStr">
        <is>
          <t>Positive</t>
        </is>
      </c>
      <c r="D4" s="4" t="inlineStr">
        <is>
          <t>Negative</t>
        </is>
      </c>
      <c r="E4" s="4" t="inlineStr">
        <is>
          <t>Uncertainty</t>
        </is>
      </c>
      <c r="F4" s="4" t="inlineStr">
        <is>
          <t>Litigious</t>
        </is>
      </c>
      <c r="G4" s="4" t="inlineStr">
        <is>
          <t>Strong Modal</t>
        </is>
      </c>
      <c r="H4" s="4" t="inlineStr">
        <is>
          <t>Weak Modal</t>
        </is>
      </c>
      <c r="I4" s="4" t="inlineStr">
        <is>
          <t>Constraining</t>
        </is>
      </c>
      <c r="J4" s="4" t="inlineStr">
        <is>
          <t>Complexity</t>
        </is>
      </c>
      <c r="K4" s="4" t="inlineStr">
        <is>
          <t>P/N Ratio</t>
        </is>
      </c>
      <c r="L4" s="4" t="inlineStr">
        <is>
          <t>Positive %</t>
        </is>
      </c>
      <c r="M4" s="4" t="inlineStr">
        <is>
          <t>Negative %</t>
        </is>
      </c>
      <c r="N4" s="4" t="inlineStr">
        <is>
          <t>Uncertainty %</t>
        </is>
      </c>
      <c r="O4" s="4" t="inlineStr">
        <is>
          <t>Litigious %</t>
        </is>
      </c>
      <c r="P4" s="4" t="inlineStr">
        <is>
          <t>Strong Modal %</t>
        </is>
      </c>
      <c r="Q4" s="4" t="inlineStr">
        <is>
          <t>Weak Modal %</t>
        </is>
      </c>
      <c r="R4" s="4" t="inlineStr">
        <is>
          <t>Constraining %</t>
        </is>
      </c>
      <c r="S4" s="4" t="inlineStr">
        <is>
          <t>Complexity %</t>
        </is>
      </c>
    </row>
    <row r="5">
      <c r="A5" s="10" t="inlineStr">
        <is>
          <t>2025</t>
        </is>
      </c>
      <c r="B5" s="11" t="n">
        <v>7877</v>
      </c>
      <c r="C5" s="11" t="n">
        <v>89</v>
      </c>
      <c r="D5" s="11" t="n">
        <v>67</v>
      </c>
      <c r="E5" s="11" t="n">
        <v>99</v>
      </c>
      <c r="F5" s="11" t="n">
        <v>52</v>
      </c>
      <c r="G5" s="11" t="n">
        <v>28</v>
      </c>
      <c r="H5" s="11" t="n">
        <v>39</v>
      </c>
      <c r="I5" s="11" t="n">
        <v>40</v>
      </c>
      <c r="J5" s="11" t="n">
        <v>18</v>
      </c>
      <c r="K5" s="12" t="n">
        <v>1.328</v>
      </c>
      <c r="L5" s="13" t="n">
        <v>0.01129871778595912</v>
      </c>
      <c r="M5" s="13" t="n">
        <v>0.008505776310778215</v>
      </c>
      <c r="N5" s="13" t="n">
        <v>0.01256823663831408</v>
      </c>
      <c r="O5" s="13" t="n">
        <v>0.006601498032245779</v>
      </c>
      <c r="P5" s="13" t="n">
        <v>0.003554652786593881</v>
      </c>
      <c r="Q5" s="13" t="n">
        <v>0.004951123524184334</v>
      </c>
      <c r="R5" s="13" t="n">
        <v>0.00507807540941983</v>
      </c>
      <c r="S5" s="13" t="n">
        <v>0.002285133934238924</v>
      </c>
    </row>
    <row r="6">
      <c r="A6" s="10" t="inlineStr">
        <is>
          <t>2024</t>
        </is>
      </c>
      <c r="B6" s="11" t="n">
        <v>6873</v>
      </c>
      <c r="C6" s="11" t="n">
        <v>60</v>
      </c>
      <c r="D6" s="11" t="n">
        <v>54</v>
      </c>
      <c r="E6" s="11" t="n">
        <v>80</v>
      </c>
      <c r="F6" s="11" t="n">
        <v>37</v>
      </c>
      <c r="G6" s="11" t="n">
        <v>22</v>
      </c>
      <c r="H6" s="11" t="n">
        <v>34</v>
      </c>
      <c r="I6" s="11" t="n">
        <v>29</v>
      </c>
      <c r="J6" s="11" t="n">
        <v>15</v>
      </c>
      <c r="K6" s="12" t="n">
        <v>1.111</v>
      </c>
      <c r="L6" s="13" t="n">
        <v>0.008729812309035356</v>
      </c>
      <c r="M6" s="13" t="n">
        <v>0.00785683107813182</v>
      </c>
      <c r="N6" s="13" t="n">
        <v>0.01163974974538047</v>
      </c>
      <c r="O6" s="13" t="n">
        <v>0.005383384257238469</v>
      </c>
      <c r="P6" s="13" t="n">
        <v>0.00320093117997963</v>
      </c>
      <c r="Q6" s="13" t="n">
        <v>0.004946893641786702</v>
      </c>
      <c r="R6" s="13" t="n">
        <v>0.004219409282700422</v>
      </c>
      <c r="S6" s="13" t="n">
        <v>0.002182453077258839</v>
      </c>
    </row>
    <row r="7">
      <c r="A7" s="10" t="inlineStr">
        <is>
          <t>2023</t>
        </is>
      </c>
      <c r="B7" s="11" t="n">
        <v>6994</v>
      </c>
      <c r="C7" s="11" t="n">
        <v>72</v>
      </c>
      <c r="D7" s="11" t="n">
        <v>50</v>
      </c>
      <c r="E7" s="11" t="n">
        <v>77</v>
      </c>
      <c r="F7" s="11" t="n">
        <v>39</v>
      </c>
      <c r="G7" s="11" t="n">
        <v>23</v>
      </c>
      <c r="H7" s="11" t="n">
        <v>33</v>
      </c>
      <c r="I7" s="11" t="n">
        <v>36</v>
      </c>
      <c r="J7" s="11" t="n">
        <v>12</v>
      </c>
      <c r="K7" s="12" t="n">
        <v>1.44</v>
      </c>
      <c r="L7" s="13" t="n">
        <v>0.01029453817557907</v>
      </c>
      <c r="M7" s="13" t="n">
        <v>0.007148984844152131</v>
      </c>
      <c r="N7" s="13" t="n">
        <v>0.01100943665999428</v>
      </c>
      <c r="O7" s="13" t="n">
        <v>0.005576208178438661</v>
      </c>
      <c r="P7" s="13" t="n">
        <v>0.00328853302830998</v>
      </c>
      <c r="Q7" s="13" t="n">
        <v>0.004718329997140406</v>
      </c>
      <c r="R7" s="13" t="n">
        <v>0.005147269087789534</v>
      </c>
      <c r="S7" s="13" t="n">
        <v>0.001715756362596511</v>
      </c>
    </row>
    <row r="8">
      <c r="A8" s="10" t="inlineStr">
        <is>
          <t>2022</t>
        </is>
      </c>
      <c r="B8" s="11" t="n">
        <v>8067</v>
      </c>
      <c r="C8" s="11" t="n">
        <v>66</v>
      </c>
      <c r="D8" s="11" t="n">
        <v>60</v>
      </c>
      <c r="E8" s="11" t="n">
        <v>78</v>
      </c>
      <c r="F8" s="11" t="n">
        <v>49</v>
      </c>
      <c r="G8" s="11" t="n">
        <v>20</v>
      </c>
      <c r="H8" s="11" t="n">
        <v>36</v>
      </c>
      <c r="I8" s="11" t="n">
        <v>44</v>
      </c>
      <c r="J8" s="11" t="n">
        <v>16</v>
      </c>
      <c r="K8" s="12" t="n">
        <v>1.1</v>
      </c>
      <c r="L8" s="13" t="n">
        <v>0.008181480104127928</v>
      </c>
      <c r="M8" s="13" t="n">
        <v>0.007437709185570844</v>
      </c>
      <c r="N8" s="13" t="n">
        <v>0.009669021941242098</v>
      </c>
      <c r="O8" s="13" t="n">
        <v>0.006074129168216189</v>
      </c>
      <c r="P8" s="13" t="n">
        <v>0.002479236395190281</v>
      </c>
      <c r="Q8" s="13" t="n">
        <v>0.004462625511342506</v>
      </c>
      <c r="R8" s="13" t="n">
        <v>0.005454320069418619</v>
      </c>
      <c r="S8" s="13" t="n">
        <v>0.001983389116152225</v>
      </c>
    </row>
    <row r="9">
      <c r="A9" s="10" t="inlineStr">
        <is>
          <t>2021</t>
        </is>
      </c>
      <c r="B9" s="11" t="n">
        <v>8630</v>
      </c>
      <c r="C9" s="11" t="n">
        <v>72</v>
      </c>
      <c r="D9" s="11" t="n">
        <v>63</v>
      </c>
      <c r="E9" s="11" t="n">
        <v>93</v>
      </c>
      <c r="F9" s="11" t="n">
        <v>49</v>
      </c>
      <c r="G9" s="11" t="n">
        <v>22</v>
      </c>
      <c r="H9" s="11" t="n">
        <v>43</v>
      </c>
      <c r="I9" s="11" t="n">
        <v>52</v>
      </c>
      <c r="J9" s="11" t="n">
        <v>27</v>
      </c>
      <c r="K9" s="12" t="n">
        <v>1.143</v>
      </c>
      <c r="L9" s="13" t="n">
        <v>0.008342989571263035</v>
      </c>
      <c r="M9" s="13" t="n">
        <v>0.007300115874855156</v>
      </c>
      <c r="N9" s="13" t="n">
        <v>0.01077636152954809</v>
      </c>
      <c r="O9" s="13" t="n">
        <v>0.005677867902665122</v>
      </c>
      <c r="P9" s="13" t="n">
        <v>0.002549246813441483</v>
      </c>
      <c r="Q9" s="13" t="n">
        <v>0.004982618771726535</v>
      </c>
      <c r="R9" s="13" t="n">
        <v>0.006025492468134415</v>
      </c>
      <c r="S9" s="13" t="n">
        <v>0.003128621089223638</v>
      </c>
    </row>
    <row r="10">
      <c r="A10" s="10" t="inlineStr">
        <is>
          <t>2020</t>
        </is>
      </c>
      <c r="B10" s="11" t="n">
        <v>13078</v>
      </c>
      <c r="C10" s="11" t="n">
        <v>78</v>
      </c>
      <c r="D10" s="11" t="n">
        <v>112</v>
      </c>
      <c r="E10" s="11" t="n">
        <v>151</v>
      </c>
      <c r="F10" s="11" t="n">
        <v>101</v>
      </c>
      <c r="G10" s="11" t="n">
        <v>32</v>
      </c>
      <c r="H10" s="11" t="n">
        <v>66</v>
      </c>
      <c r="I10" s="11" t="n">
        <v>71</v>
      </c>
      <c r="J10" s="11" t="n">
        <v>60</v>
      </c>
      <c r="K10" s="12" t="n">
        <v>0.696</v>
      </c>
      <c r="L10" s="13" t="n">
        <v>0.005964214711729622</v>
      </c>
      <c r="M10" s="13" t="n">
        <v>0.008564000611714329</v>
      </c>
      <c r="N10" s="13" t="n">
        <v>0.01154610796757914</v>
      </c>
      <c r="O10" s="13" t="n">
        <v>0.007722893408778101</v>
      </c>
      <c r="P10" s="13" t="n">
        <v>0.002446857317632666</v>
      </c>
      <c r="Q10" s="13" t="n">
        <v>0.005046643217617373</v>
      </c>
      <c r="R10" s="13" t="n">
        <v>0.005428964673497477</v>
      </c>
      <c r="S10" s="13" t="n">
        <v>0.004587857470561248</v>
      </c>
    </row>
    <row r="11">
      <c r="A11" s="10" t="inlineStr">
        <is>
          <t>2019</t>
        </is>
      </c>
      <c r="B11" s="11" t="n">
        <v>12292</v>
      </c>
      <c r="C11" s="11" t="n">
        <v>66</v>
      </c>
      <c r="D11" s="11" t="n">
        <v>76</v>
      </c>
      <c r="E11" s="11" t="n">
        <v>123</v>
      </c>
      <c r="F11" s="11" t="n">
        <v>92</v>
      </c>
      <c r="G11" s="11" t="n">
        <v>32</v>
      </c>
      <c r="H11" s="11" t="n">
        <v>49</v>
      </c>
      <c r="I11" s="11" t="n">
        <v>65</v>
      </c>
      <c r="J11" s="11" t="n">
        <v>60</v>
      </c>
      <c r="K11" s="12" t="n">
        <v>0.868</v>
      </c>
      <c r="L11" s="13" t="n">
        <v>0.005369345916042954</v>
      </c>
      <c r="M11" s="13" t="n">
        <v>0.006182883176049463</v>
      </c>
      <c r="N11" s="13" t="n">
        <v>0.01000650829808005</v>
      </c>
      <c r="O11" s="13" t="n">
        <v>0.007484542792059876</v>
      </c>
      <c r="P11" s="13" t="n">
        <v>0.002603319232020826</v>
      </c>
      <c r="Q11" s="13" t="n">
        <v>0.003986332574031891</v>
      </c>
      <c r="R11" s="13" t="n">
        <v>0.005287992190042304</v>
      </c>
      <c r="S11" s="13" t="n">
        <v>0.004881223560039049</v>
      </c>
    </row>
    <row r="12">
      <c r="A12" s="10" t="inlineStr">
        <is>
          <t>2018</t>
        </is>
      </c>
      <c r="B12" s="11" t="n">
        <v>16139</v>
      </c>
      <c r="C12" s="11" t="n">
        <v>97</v>
      </c>
      <c r="D12" s="11" t="n">
        <v>94</v>
      </c>
      <c r="E12" s="11" t="n">
        <v>161</v>
      </c>
      <c r="F12" s="11" t="n">
        <v>124</v>
      </c>
      <c r="G12" s="11" t="n">
        <v>37</v>
      </c>
      <c r="H12" s="11" t="n">
        <v>62</v>
      </c>
      <c r="I12" s="11" t="n">
        <v>78</v>
      </c>
      <c r="J12" s="11" t="n">
        <v>74</v>
      </c>
      <c r="K12" s="12" t="n">
        <v>1.032</v>
      </c>
      <c r="L12" s="13" t="n">
        <v>0.006010285643472334</v>
      </c>
      <c r="M12" s="13" t="n">
        <v>0.005824400520478344</v>
      </c>
      <c r="N12" s="13" t="n">
        <v>0.009975834934010781</v>
      </c>
      <c r="O12" s="13" t="n">
        <v>0.007683251750418242</v>
      </c>
      <c r="P12" s="13" t="n">
        <v>0.00229258318359254</v>
      </c>
      <c r="Q12" s="13" t="n">
        <v>0.003841625875209121</v>
      </c>
      <c r="R12" s="13" t="n">
        <v>0.004833013197843732</v>
      </c>
      <c r="S12" s="13" t="n">
        <v>0.00458516636718508</v>
      </c>
    </row>
    <row r="13">
      <c r="A13" s="10" t="inlineStr">
        <is>
          <t>2017</t>
        </is>
      </c>
      <c r="B13" s="11" t="n">
        <v>11809</v>
      </c>
      <c r="C13" s="11" t="n">
        <v>83</v>
      </c>
      <c r="D13" s="11" t="n">
        <v>71</v>
      </c>
      <c r="E13" s="11" t="n">
        <v>113</v>
      </c>
      <c r="F13" s="11" t="n">
        <v>58</v>
      </c>
      <c r="G13" s="11" t="n">
        <v>29</v>
      </c>
      <c r="H13" s="11" t="n">
        <v>45</v>
      </c>
      <c r="I13" s="11" t="n">
        <v>48</v>
      </c>
      <c r="J13" s="11" t="n">
        <v>45</v>
      </c>
      <c r="K13" s="12" t="n">
        <v>1.169</v>
      </c>
      <c r="L13" s="13" t="n">
        <v>0.007028537556101278</v>
      </c>
      <c r="M13" s="13" t="n">
        <v>0.006012363451604708</v>
      </c>
      <c r="N13" s="13" t="n">
        <v>0.009568972817342704</v>
      </c>
      <c r="O13" s="13" t="n">
        <v>0.004911508171733424</v>
      </c>
      <c r="P13" s="13" t="n">
        <v>0.002455754085866712</v>
      </c>
      <c r="Q13" s="13" t="n">
        <v>0.003810652891862139</v>
      </c>
      <c r="R13" s="13" t="n">
        <v>0.004064696417986281</v>
      </c>
      <c r="S13" s="13" t="n">
        <v>0.003810652891862139</v>
      </c>
    </row>
    <row r="14">
      <c r="A14" s="10" t="inlineStr">
        <is>
          <t>2016</t>
        </is>
      </c>
      <c r="B14" s="11" t="n">
        <v>11780</v>
      </c>
      <c r="C14" s="11" t="n">
        <v>65</v>
      </c>
      <c r="D14" s="11" t="n">
        <v>83</v>
      </c>
      <c r="E14" s="11" t="n">
        <v>132</v>
      </c>
      <c r="F14" s="11" t="n">
        <v>61</v>
      </c>
      <c r="G14" s="11" t="n">
        <v>33</v>
      </c>
      <c r="H14" s="11" t="n">
        <v>47</v>
      </c>
      <c r="I14" s="11" t="n">
        <v>53</v>
      </c>
      <c r="J14" s="11" t="n">
        <v>45</v>
      </c>
      <c r="K14" s="12" t="n">
        <v>0.783</v>
      </c>
      <c r="L14" s="13" t="n">
        <v>0.005517826825127334</v>
      </c>
      <c r="M14" s="13" t="n">
        <v>0.007045840407470289</v>
      </c>
      <c r="N14" s="13" t="n">
        <v>0.01120543293718166</v>
      </c>
      <c r="O14" s="13" t="n">
        <v>0.005178268251273345</v>
      </c>
      <c r="P14" s="13" t="n">
        <v>0.002801358234295416</v>
      </c>
      <c r="Q14" s="13" t="n">
        <v>0.00398981324278438</v>
      </c>
      <c r="R14" s="13" t="n">
        <v>0.004499151103565365</v>
      </c>
      <c r="S14" s="13" t="n">
        <v>0.003820033955857385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1" customWidth="1" min="3" max="3"/>
    <col width="16" customWidth="1" min="4" max="4"/>
    <col width="16" customWidth="1" min="5" max="5"/>
    <col width="19" customWidth="1" min="6" max="6"/>
  </cols>
  <sheetData>
    <row r="1">
      <c r="A1" s="1" t="inlineStr">
        <is>
          <t>TESLA, INC. - HISTORICAL STOCK PRICE ANALYSIS</t>
        </is>
      </c>
    </row>
    <row r="2">
      <c r="A2" s="2" t="inlineStr">
        <is>
          <t>Price Type: Split-Adjusted Closing Price (Close) | Source: Yahoo Finance (yfinance)</t>
        </is>
      </c>
    </row>
    <row r="4">
      <c r="A4" s="9" t="inlineStr">
        <is>
          <t>Fiscal Year</t>
        </is>
      </c>
      <c r="B4" s="9" t="inlineStr">
        <is>
          <t>Balance Sheet Date</t>
        </is>
      </c>
      <c r="C4" s="9" t="inlineStr">
        <is>
          <t>Trading Date Used</t>
        </is>
      </c>
      <c r="D4" s="4" t="inlineStr">
        <is>
          <t>Stock Price</t>
        </is>
      </c>
      <c r="E4" s="9" t="inlineStr">
        <is>
          <t>Source</t>
        </is>
      </c>
      <c r="F4" s="3" t="inlineStr">
        <is>
          <t>Date Adjustment</t>
        </is>
      </c>
    </row>
    <row r="5">
      <c r="A5" s="10" t="inlineStr">
        <is>
          <t>2025</t>
        </is>
      </c>
      <c r="B5" s="10" t="inlineStr">
        <is>
          <t>2025-12-31</t>
        </is>
      </c>
      <c r="C5" s="10" t="inlineStr">
        <is>
          <t>2025-12-31</t>
        </is>
      </c>
      <c r="D5" s="14" t="n">
        <v>449.72</v>
      </c>
      <c r="E5" s="10" t="inlineStr">
        <is>
          <t>Yahoo Finance</t>
        </is>
      </c>
      <c r="F5" s="15" t="inlineStr">
        <is>
          <t>Exact date</t>
        </is>
      </c>
    </row>
    <row r="6">
      <c r="A6" s="10" t="inlineStr">
        <is>
          <t>2024</t>
        </is>
      </c>
      <c r="B6" s="10" t="inlineStr">
        <is>
          <t>2024-12-31</t>
        </is>
      </c>
      <c r="C6" s="10" t="inlineStr">
        <is>
          <t>2024-12-31</t>
        </is>
      </c>
      <c r="D6" s="14" t="n">
        <v>403.84</v>
      </c>
      <c r="E6" s="10" t="inlineStr">
        <is>
          <t>Yahoo Finance</t>
        </is>
      </c>
      <c r="F6" s="15" t="inlineStr">
        <is>
          <t>Exact date</t>
        </is>
      </c>
    </row>
    <row r="7">
      <c r="A7" s="10" t="inlineStr">
        <is>
          <t>2023</t>
        </is>
      </c>
      <c r="B7" s="10" t="inlineStr">
        <is>
          <t>2023-12-31</t>
        </is>
      </c>
      <c r="C7" s="10" t="inlineStr">
        <is>
          <t>2023-12-29</t>
        </is>
      </c>
      <c r="D7" s="14" t="n">
        <v>248.48</v>
      </c>
      <c r="E7" s="10" t="inlineStr">
        <is>
          <t>Yahoo Finance</t>
        </is>
      </c>
      <c r="F7" s="15" t="inlineStr">
        <is>
          <t>Previous trading day</t>
        </is>
      </c>
    </row>
    <row r="8">
      <c r="A8" s="10" t="inlineStr">
        <is>
          <t>2022</t>
        </is>
      </c>
      <c r="B8" s="10" t="inlineStr">
        <is>
          <t>2022-12-31</t>
        </is>
      </c>
      <c r="C8" s="10" t="inlineStr">
        <is>
          <t>2022-12-30</t>
        </is>
      </c>
      <c r="D8" s="14" t="n">
        <v>123.18</v>
      </c>
      <c r="E8" s="10" t="inlineStr">
        <is>
          <t>Yahoo Finance</t>
        </is>
      </c>
      <c r="F8" s="15" t="inlineStr">
        <is>
          <t>Previous trading day</t>
        </is>
      </c>
    </row>
    <row r="9">
      <c r="A9" s="10" t="inlineStr">
        <is>
          <t>2021</t>
        </is>
      </c>
      <c r="B9" s="10" t="inlineStr">
        <is>
          <t>2021-12-31</t>
        </is>
      </c>
      <c r="C9" s="10" t="inlineStr">
        <is>
          <t>2021-12-31</t>
        </is>
      </c>
      <c r="D9" s="14" t="n">
        <v>352.26</v>
      </c>
      <c r="E9" s="10" t="inlineStr">
        <is>
          <t>Yahoo Finance</t>
        </is>
      </c>
      <c r="F9" s="15" t="inlineStr">
        <is>
          <t>Exact date</t>
        </is>
      </c>
    </row>
    <row r="10">
      <c r="A10" s="10" t="inlineStr">
        <is>
          <t>2020</t>
        </is>
      </c>
      <c r="B10" s="10" t="inlineStr">
        <is>
          <t>2020-12-31</t>
        </is>
      </c>
      <c r="C10" s="10" t="inlineStr">
        <is>
          <t>2020-12-31</t>
        </is>
      </c>
      <c r="D10" s="14" t="n">
        <v>235.22</v>
      </c>
      <c r="E10" s="10" t="inlineStr">
        <is>
          <t>Yahoo Finance</t>
        </is>
      </c>
      <c r="F10" s="15" t="inlineStr">
        <is>
          <t>Exact date</t>
        </is>
      </c>
    </row>
    <row r="11">
      <c r="A11" s="10" t="inlineStr">
        <is>
          <t>2019</t>
        </is>
      </c>
      <c r="B11" s="10" t="inlineStr">
        <is>
          <t>2019-12-31</t>
        </is>
      </c>
      <c r="C11" s="10" t="inlineStr">
        <is>
          <t>2019-12-31</t>
        </is>
      </c>
      <c r="D11" s="14" t="n">
        <v>27.89</v>
      </c>
      <c r="E11" s="10" t="inlineStr">
        <is>
          <t>Yahoo Finance</t>
        </is>
      </c>
      <c r="F11" s="15" t="inlineStr">
        <is>
          <t>Exact date</t>
        </is>
      </c>
    </row>
    <row r="12">
      <c r="A12" s="10" t="inlineStr">
        <is>
          <t>2018</t>
        </is>
      </c>
      <c r="B12" s="10" t="inlineStr">
        <is>
          <t>2018-12-31</t>
        </is>
      </c>
      <c r="C12" s="10" t="inlineStr">
        <is>
          <t>2018-12-31</t>
        </is>
      </c>
      <c r="D12" s="14" t="n">
        <v>22.19</v>
      </c>
      <c r="E12" s="10" t="inlineStr">
        <is>
          <t>Yahoo Finance</t>
        </is>
      </c>
      <c r="F12" s="15" t="inlineStr">
        <is>
          <t>Exact date</t>
        </is>
      </c>
    </row>
    <row r="13">
      <c r="A13" s="10" t="inlineStr">
        <is>
          <t>2017</t>
        </is>
      </c>
      <c r="B13" s="10" t="inlineStr">
        <is>
          <t>2017-12-31</t>
        </is>
      </c>
      <c r="C13" s="10" t="inlineStr">
        <is>
          <t>2017-12-29</t>
        </is>
      </c>
      <c r="D13" s="14" t="n">
        <v>20.76</v>
      </c>
      <c r="E13" s="10" t="inlineStr">
        <is>
          <t>Yahoo Finance</t>
        </is>
      </c>
      <c r="F13" s="15" t="inlineStr">
        <is>
          <t>Previous trading day</t>
        </is>
      </c>
    </row>
    <row r="14">
      <c r="A14" s="10" t="inlineStr">
        <is>
          <t>2016</t>
        </is>
      </c>
      <c r="B14" s="10" t="inlineStr">
        <is>
          <t>2016-12-31</t>
        </is>
      </c>
      <c r="C14" s="10" t="inlineStr">
        <is>
          <t>2016-12-30</t>
        </is>
      </c>
      <c r="D14" s="14" t="n">
        <v>14.25</v>
      </c>
      <c r="E14" s="10" t="inlineStr">
        <is>
          <t>Yahoo Finance</t>
        </is>
      </c>
      <c r="F14" s="15" t="inlineStr">
        <is>
          <t>Previous trading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23" customWidth="1" min="4" max="4"/>
    <col width="20" customWidth="1" min="5" max="5"/>
    <col width="19" customWidth="1" min="6" max="6"/>
    <col width="17" customWidth="1" min="7" max="7"/>
    <col width="17" customWidth="1" min="8" max="8"/>
    <col width="20" customWidth="1" min="9" max="9"/>
    <col width="18" customWidth="1" min="10" max="10"/>
    <col width="21" customWidth="1" min="11" max="11"/>
    <col width="19" customWidth="1" min="12" max="12"/>
    <col width="21" customWidth="1" min="13" max="13"/>
    <col width="19" customWidth="1" min="14" max="14"/>
    <col width="15" customWidth="1" min="15" max="15"/>
    <col width="15" customWidth="1" min="16" max="16"/>
    <col width="22" customWidth="1" min="18" max="18"/>
    <col width="16" customWidth="1" min="19" max="19"/>
    <col width="62" customWidth="1" min="20" max="20"/>
  </cols>
  <sheetData>
    <row r="1">
      <c r="A1" s="1" t="inlineStr">
        <is>
          <t>TESLA, INC. (TSLA) — FINANCIAL RATIOS, SENTIMENT &amp; STOCK PRICE ANALYSIS</t>
        </is>
      </c>
    </row>
    <row r="2">
      <c r="A2" s="2" t="inlineStr">
        <is>
          <t>Fiscal Years 2016 – 2025 (Chronological Order) | Unified Valuation &amp; Sentiment Modeling</t>
        </is>
      </c>
    </row>
    <row r="3">
      <c r="R3" s="16" t="inlineStr">
        <is>
          <t>RATIO FORMULAS &amp; WHAT THEY MEASURE</t>
        </is>
      </c>
    </row>
    <row r="4">
      <c r="A4" s="17" t="inlineStr">
        <is>
          <t>Fiscal Year</t>
        </is>
      </c>
      <c r="B4" s="17" t="inlineStr">
        <is>
          <t>Current Ratio</t>
        </is>
      </c>
      <c r="C4" s="17" t="inlineStr">
        <is>
          <t>Debt-to-Assets Ratio</t>
        </is>
      </c>
      <c r="D4" s="17" t="inlineStr">
        <is>
          <t>Total Asset Turnover</t>
        </is>
      </c>
      <c r="E4" s="17" t="inlineStr">
        <is>
          <t>Net Profit Margin</t>
        </is>
      </c>
      <c r="F4" s="17" t="inlineStr">
        <is>
          <t>Total Word Count</t>
        </is>
      </c>
      <c r="G4" s="17" t="inlineStr">
        <is>
          <t>Positive Words</t>
        </is>
      </c>
      <c r="H4" s="17" t="inlineStr">
        <is>
          <t>Negative Words</t>
        </is>
      </c>
      <c r="I4" s="17" t="inlineStr">
        <is>
          <t>Uncertainty Words</t>
        </is>
      </c>
      <c r="J4" s="17" t="inlineStr">
        <is>
          <t>Litigious Words</t>
        </is>
      </c>
      <c r="K4" s="17" t="inlineStr">
        <is>
          <t>Strong Modal Words</t>
        </is>
      </c>
      <c r="L4" s="17" t="inlineStr">
        <is>
          <t>Weak Modal Words</t>
        </is>
      </c>
      <c r="M4" s="17" t="inlineStr">
        <is>
          <t>Constraining Words</t>
        </is>
      </c>
      <c r="N4" s="17" t="inlineStr">
        <is>
          <t>Complexity Words</t>
        </is>
      </c>
      <c r="O4" s="17" t="inlineStr">
        <is>
          <t>P/N Ratio</t>
        </is>
      </c>
      <c r="P4" s="17" t="inlineStr">
        <is>
          <t>Stock Price</t>
        </is>
      </c>
      <c r="R4" s="9" t="inlineStr">
        <is>
          <t>Ratio</t>
        </is>
      </c>
      <c r="S4" s="9" t="inlineStr">
        <is>
          <t>Measures</t>
        </is>
      </c>
      <c r="T4" s="9" t="inlineStr">
        <is>
          <t>Formula</t>
        </is>
      </c>
    </row>
    <row r="5">
      <c r="A5" s="18" t="n">
        <v>2016</v>
      </c>
      <c r="B5" s="19" t="n">
        <v>1.074309250042904</v>
      </c>
      <c r="C5" s="20" t="n">
        <v>0.7390575361807271</v>
      </c>
      <c r="D5" s="19" t="n">
        <v>0.4555512169725368</v>
      </c>
      <c r="E5" s="20" t="n">
        <v>-0.1104285714285714</v>
      </c>
      <c r="F5" s="21" t="n">
        <v>11780</v>
      </c>
      <c r="G5" s="21" t="n">
        <v>65</v>
      </c>
      <c r="H5" s="21" t="n">
        <v>83</v>
      </c>
      <c r="I5" s="21" t="n">
        <v>132</v>
      </c>
      <c r="J5" s="21" t="n">
        <v>61</v>
      </c>
      <c r="K5" s="21" t="n">
        <v>33</v>
      </c>
      <c r="L5" s="21" t="n">
        <v>47</v>
      </c>
      <c r="M5" s="21" t="n">
        <v>53</v>
      </c>
      <c r="N5" s="21" t="n">
        <v>45</v>
      </c>
      <c r="O5" s="19" t="n">
        <v>0.783</v>
      </c>
      <c r="P5" s="22" t="n">
        <v>14.25</v>
      </c>
      <c r="R5" s="23" t="inlineStr">
        <is>
          <t>Current Ratio</t>
        </is>
      </c>
      <c r="S5" s="23" t="inlineStr">
        <is>
          <t>Liquidity</t>
        </is>
      </c>
      <c r="T5" s="23" t="inlineStr">
        <is>
          <t>Current Assets / Current Liabilities</t>
        </is>
      </c>
    </row>
    <row r="6">
      <c r="A6" s="18" t="n">
        <v>2017</v>
      </c>
      <c r="B6" s="19" t="n">
        <v>0.8561563517915309</v>
      </c>
      <c r="C6" s="20" t="n">
        <v>0.8034548944337812</v>
      </c>
      <c r="D6" s="19" t="n">
        <v>0.4582708158771605</v>
      </c>
      <c r="E6" s="20" t="n">
        <v>-0.190577430053576</v>
      </c>
      <c r="F6" s="21" t="n">
        <v>11809</v>
      </c>
      <c r="G6" s="21" t="n">
        <v>83</v>
      </c>
      <c r="H6" s="21" t="n">
        <v>71</v>
      </c>
      <c r="I6" s="21" t="n">
        <v>113</v>
      </c>
      <c r="J6" s="21" t="n">
        <v>58</v>
      </c>
      <c r="K6" s="21" t="n">
        <v>29</v>
      </c>
      <c r="L6" s="21" t="n">
        <v>45</v>
      </c>
      <c r="M6" s="21" t="n">
        <v>48</v>
      </c>
      <c r="N6" s="21" t="n">
        <v>45</v>
      </c>
      <c r="O6" s="19" t="n">
        <v>1.169</v>
      </c>
      <c r="P6" s="22" t="n">
        <v>20.76</v>
      </c>
      <c r="R6" s="23" t="inlineStr">
        <is>
          <t>Debt-to-Assets</t>
        </is>
      </c>
      <c r="S6" s="23" t="inlineStr">
        <is>
          <t>Solvency</t>
        </is>
      </c>
      <c r="T6" s="23" t="inlineStr">
        <is>
          <t>Total Liabilities / Total Assets</t>
        </is>
      </c>
    </row>
    <row r="7">
      <c r="A7" s="18" t="n">
        <v>2018</v>
      </c>
      <c r="B7" s="19" t="n">
        <v>0.8312818973281297</v>
      </c>
      <c r="C7" s="20" t="n">
        <v>0.7877269670477471</v>
      </c>
      <c r="D7" s="19" t="n">
        <v>0.7350286839626681</v>
      </c>
      <c r="E7" s="20" t="n">
        <v>-0.04953170868086296</v>
      </c>
      <c r="F7" s="21" t="n">
        <v>16139</v>
      </c>
      <c r="G7" s="21" t="n">
        <v>97</v>
      </c>
      <c r="H7" s="21" t="n">
        <v>94</v>
      </c>
      <c r="I7" s="21" t="n">
        <v>161</v>
      </c>
      <c r="J7" s="21" t="n">
        <v>124</v>
      </c>
      <c r="K7" s="21" t="n">
        <v>37</v>
      </c>
      <c r="L7" s="21" t="n">
        <v>62</v>
      </c>
      <c r="M7" s="21" t="n">
        <v>78</v>
      </c>
      <c r="N7" s="21" t="n">
        <v>74</v>
      </c>
      <c r="O7" s="19" t="n">
        <v>1.032</v>
      </c>
      <c r="P7" s="22" t="n">
        <v>22.19</v>
      </c>
      <c r="R7" s="23" t="inlineStr">
        <is>
          <t>Total Asset Turnover</t>
        </is>
      </c>
      <c r="S7" s="23" t="inlineStr">
        <is>
          <t>Efficiency</t>
        </is>
      </c>
      <c r="T7" s="23" t="inlineStr">
        <is>
          <t>Revenue / Average Total Assets</t>
        </is>
      </c>
    </row>
    <row r="8">
      <c r="A8" s="18" t="n">
        <v>2019</v>
      </c>
      <c r="B8" s="19" t="n">
        <v>1.134620793100216</v>
      </c>
      <c r="C8" s="20" t="n">
        <v>0.7636188755137137</v>
      </c>
      <c r="D8" s="19" t="n">
        <v>0.7674749020281347</v>
      </c>
      <c r="E8" s="20" t="n">
        <v>-0.03153226462690211</v>
      </c>
      <c r="F8" s="21" t="n">
        <v>12292</v>
      </c>
      <c r="G8" s="21" t="n">
        <v>66</v>
      </c>
      <c r="H8" s="21" t="n">
        <v>76</v>
      </c>
      <c r="I8" s="21" t="n">
        <v>123</v>
      </c>
      <c r="J8" s="21" t="n">
        <v>92</v>
      </c>
      <c r="K8" s="21" t="n">
        <v>32</v>
      </c>
      <c r="L8" s="21" t="n">
        <v>49</v>
      </c>
      <c r="M8" s="21" t="n">
        <v>65</v>
      </c>
      <c r="N8" s="21" t="n">
        <v>60</v>
      </c>
      <c r="O8" s="19" t="n">
        <v>0.868</v>
      </c>
      <c r="P8" s="22" t="n">
        <v>27.89</v>
      </c>
      <c r="R8" s="23" t="inlineStr">
        <is>
          <t>Average Total Assets</t>
        </is>
      </c>
      <c r="S8" s="23" t="inlineStr">
        <is>
          <t>(input)</t>
        </is>
      </c>
      <c r="T8" s="23" t="inlineStr">
        <is>
          <t>(Beginning Total Assets + Ending Total Assets) / 2</t>
        </is>
      </c>
    </row>
    <row r="9">
      <c r="A9" s="18" t="n">
        <v>2020</v>
      </c>
      <c r="B9" s="19" t="n">
        <v>1.875140370578327</v>
      </c>
      <c r="C9" s="20" t="n">
        <v>0.5449489913323617</v>
      </c>
      <c r="D9" s="19" t="n">
        <v>0.7295187202886985</v>
      </c>
      <c r="E9" s="20" t="n">
        <v>0.02733384069000507</v>
      </c>
      <c r="F9" s="21" t="n">
        <v>13078</v>
      </c>
      <c r="G9" s="21" t="n">
        <v>78</v>
      </c>
      <c r="H9" s="21" t="n">
        <v>112</v>
      </c>
      <c r="I9" s="21" t="n">
        <v>151</v>
      </c>
      <c r="J9" s="21" t="n">
        <v>101</v>
      </c>
      <c r="K9" s="21" t="n">
        <v>32</v>
      </c>
      <c r="L9" s="21" t="n">
        <v>66</v>
      </c>
      <c r="M9" s="21" t="n">
        <v>71</v>
      </c>
      <c r="N9" s="21" t="n">
        <v>60</v>
      </c>
      <c r="O9" s="19" t="n">
        <v>0.696</v>
      </c>
      <c r="P9" s="22" t="n">
        <v>235.22</v>
      </c>
      <c r="R9" s="23" t="inlineStr">
        <is>
          <t>Net Profit Margin</t>
        </is>
      </c>
      <c r="S9" s="23" t="inlineStr">
        <is>
          <t>Profitability</t>
        </is>
      </c>
      <c r="T9" s="23" t="inlineStr">
        <is>
          <t>Net Income / Revenue</t>
        </is>
      </c>
    </row>
    <row r="10">
      <c r="A10" s="18" t="n">
        <v>2021</v>
      </c>
      <c r="B10" s="19" t="n">
        <v>1.375285460543009</v>
      </c>
      <c r="C10" s="20" t="n">
        <v>0.4916708245481322</v>
      </c>
      <c r="D10" s="19" t="n">
        <v>0.9419578400231013</v>
      </c>
      <c r="E10" s="20" t="n">
        <v>0.1048622336175984</v>
      </c>
      <c r="F10" s="21" t="n">
        <v>8630</v>
      </c>
      <c r="G10" s="21" t="n">
        <v>72</v>
      </c>
      <c r="H10" s="21" t="n">
        <v>63</v>
      </c>
      <c r="I10" s="21" t="n">
        <v>93</v>
      </c>
      <c r="J10" s="21" t="n">
        <v>49</v>
      </c>
      <c r="K10" s="21" t="n">
        <v>22</v>
      </c>
      <c r="L10" s="21" t="n">
        <v>43</v>
      </c>
      <c r="M10" s="21" t="n">
        <v>52</v>
      </c>
      <c r="N10" s="21" t="n">
        <v>27</v>
      </c>
      <c r="O10" s="19" t="n">
        <v>1.143</v>
      </c>
      <c r="P10" s="22" t="n">
        <v>352.26</v>
      </c>
      <c r="R10" s="23" t="inlineStr">
        <is>
          <t>P/N Ratio</t>
        </is>
      </c>
      <c r="S10" s="23" t="inlineStr">
        <is>
          <t>MD&amp;A Sentiment</t>
        </is>
      </c>
      <c r="T10" s="23" t="inlineStr">
        <is>
          <t>Loughran-McDonald Positive Words / Negative Words</t>
        </is>
      </c>
    </row>
    <row r="11">
      <c r="A11" s="18" t="n">
        <v>2022</v>
      </c>
      <c r="B11" s="19" t="n">
        <v>1.53195552061103</v>
      </c>
      <c r="C11" s="20" t="n">
        <v>0.4425660084043819</v>
      </c>
      <c r="D11" s="19" t="n">
        <v>1.127743668191792</v>
      </c>
      <c r="E11" s="20" t="n">
        <v>0.1545137610174069</v>
      </c>
      <c r="F11" s="21" t="n">
        <v>8067</v>
      </c>
      <c r="G11" s="21" t="n">
        <v>66</v>
      </c>
      <c r="H11" s="21" t="n">
        <v>60</v>
      </c>
      <c r="I11" s="21" t="n">
        <v>78</v>
      </c>
      <c r="J11" s="21" t="n">
        <v>49</v>
      </c>
      <c r="K11" s="21" t="n">
        <v>20</v>
      </c>
      <c r="L11" s="21" t="n">
        <v>36</v>
      </c>
      <c r="M11" s="21" t="n">
        <v>44</v>
      </c>
      <c r="N11" s="21" t="n">
        <v>16</v>
      </c>
      <c r="O11" s="19" t="n">
        <v>1.1</v>
      </c>
      <c r="P11" s="22" t="n">
        <v>123.18</v>
      </c>
      <c r="R11" s="23" t="inlineStr">
        <is>
          <t>Stock Price</t>
        </is>
      </c>
      <c r="S11" s="23" t="inlineStr">
        <is>
          <t>Market Value</t>
        </is>
      </c>
      <c r="T11" s="23" t="inlineStr">
        <is>
          <t>Split-adjusted close on the balance sheet date (or prior trading day)</t>
        </is>
      </c>
    </row>
    <row r="12">
      <c r="A12" s="18" t="n">
        <v>2023</v>
      </c>
      <c r="B12" s="19" t="n">
        <v>1.72589397523306</v>
      </c>
      <c r="C12" s="20" t="n">
        <v>0.4033934232493575</v>
      </c>
      <c r="D12" s="19" t="n">
        <v>1.024291369419336</v>
      </c>
      <c r="E12" s="20" t="n">
        <v>0.1547332417099811</v>
      </c>
      <c r="F12" s="21" t="n">
        <v>6994</v>
      </c>
      <c r="G12" s="21" t="n">
        <v>72</v>
      </c>
      <c r="H12" s="21" t="n">
        <v>50</v>
      </c>
      <c r="I12" s="21" t="n">
        <v>77</v>
      </c>
      <c r="J12" s="21" t="n">
        <v>39</v>
      </c>
      <c r="K12" s="21" t="n">
        <v>23</v>
      </c>
      <c r="L12" s="21" t="n">
        <v>33</v>
      </c>
      <c r="M12" s="21" t="n">
        <v>36</v>
      </c>
      <c r="N12" s="21" t="n">
        <v>12</v>
      </c>
      <c r="O12" s="19" t="n">
        <v>1.44</v>
      </c>
      <c r="P12" s="22" t="n">
        <v>248.48</v>
      </c>
    </row>
    <row r="13">
      <c r="A13" s="18" t="n">
        <v>2024</v>
      </c>
      <c r="B13" s="19" t="n">
        <v>2.024912390270983</v>
      </c>
      <c r="C13" s="20" t="n">
        <v>0.3964118948144507</v>
      </c>
      <c r="D13" s="19" t="n">
        <v>0.8543517805918981</v>
      </c>
      <c r="E13" s="20" t="n">
        <v>0.07322141467908691</v>
      </c>
      <c r="F13" s="21" t="n">
        <v>6873</v>
      </c>
      <c r="G13" s="21" t="n">
        <v>60</v>
      </c>
      <c r="H13" s="21" t="n">
        <v>54</v>
      </c>
      <c r="I13" s="21" t="n">
        <v>80</v>
      </c>
      <c r="J13" s="21" t="n">
        <v>37</v>
      </c>
      <c r="K13" s="21" t="n">
        <v>22</v>
      </c>
      <c r="L13" s="21" t="n">
        <v>34</v>
      </c>
      <c r="M13" s="21" t="n">
        <v>29</v>
      </c>
      <c r="N13" s="21" t="n">
        <v>15</v>
      </c>
      <c r="O13" s="19" t="n">
        <v>1.111</v>
      </c>
      <c r="P13" s="22" t="n">
        <v>403.84</v>
      </c>
      <c r="R13" s="24" t="inlineStr">
        <is>
          <t>Beginning Total Assets for the oldest year come from the comparative balance sheet in the oldest 10-K. N/A or blank = data not available (never treated as zero).</t>
        </is>
      </c>
    </row>
    <row r="14">
      <c r="A14" s="18" t="n">
        <v>2025</v>
      </c>
      <c r="B14" s="19" t="n">
        <v>2.164406886548528</v>
      </c>
      <c r="C14" s="20" t="n">
        <v>0.3986836567348301</v>
      </c>
      <c r="D14" s="19" t="n">
        <v>0.7297865135680094</v>
      </c>
      <c r="E14" s="20" t="n">
        <v>0.04065297858204941</v>
      </c>
      <c r="F14" s="21" t="n">
        <v>7877</v>
      </c>
      <c r="G14" s="21" t="n">
        <v>89</v>
      </c>
      <c r="H14" s="21" t="n">
        <v>67</v>
      </c>
      <c r="I14" s="21" t="n">
        <v>99</v>
      </c>
      <c r="J14" s="21" t="n">
        <v>52</v>
      </c>
      <c r="K14" s="21" t="n">
        <v>28</v>
      </c>
      <c r="L14" s="21" t="n">
        <v>39</v>
      </c>
      <c r="M14" s="21" t="n">
        <v>40</v>
      </c>
      <c r="N14" s="21" t="n">
        <v>18</v>
      </c>
      <c r="O14" s="19" t="n">
        <v>1.328</v>
      </c>
      <c r="P14" s="22" t="n">
        <v>449.72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2026-10-31T22:00:38Z</dcterms:created>
  <dcterms:modified xmlns:dcterms="http://purl.org/dc/terms/" xmlns:xsi="http://www.w3.org/2001/XMLSchema-instance" xsi:type="dcterms:W3CDTF">2026-10-31T22:00:39Z</dcterms:modified>
</cp:coreProperties>
</file>