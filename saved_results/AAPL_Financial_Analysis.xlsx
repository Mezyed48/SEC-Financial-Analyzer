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s" sheetId="3" state="visible" r:id="rId3"/>
    <sheet xmlns:r="http://schemas.openxmlformats.org/officeDocument/2006/relationships" name="Sentiment Analysis" sheetId="4" state="visible" r:id="rId4"/>
    <sheet xmlns:r="http://schemas.openxmlformats.org/officeDocument/2006/relationships" name="Stock Prices" sheetId="5" state="visible" r:id="rId5"/>
    <sheet xmlns:r="http://schemas.openxmlformats.org/officeDocument/2006/relationships" name="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#,##0.00;(#,##0.00);&quot;-&quot;"/>
    <numFmt numFmtId="166" formatCode="$#,##0.00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497D"/>
      <sz val="11"/>
    </font>
    <font>
      <name val="Calibri"/>
      <color rgb="00333333"/>
      <sz val="9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right"/>
    </xf>
    <xf numFmtId="2" fontId="5" fillId="0" borderId="0" applyAlignment="1" pivotButton="0" quotePrefix="0" xfId="0">
      <alignment horizontal="right"/>
    </xf>
    <xf numFmtId="10" fontId="5" fillId="0" borderId="0" applyAlignment="1" pivotButton="0" quotePrefix="0" xfId="0">
      <alignment horizontal="right"/>
    </xf>
    <xf numFmtId="166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5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Price vs. MD&amp;A Sentiment P/N Ratio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'Analysis'!$A$5:$A$14</f>
            </numRef>
          </cat>
          <val>
            <numRef>
              <f>'Analysis'!$P$5:$P$14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'Analysis'!O4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'Analysis'!$O$5:$O$14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Price ($)</a:t>
                </a:r>
              </a:p>
            </rich>
          </tx>
        </title>
        <numFmt formatCode="$#,##0" sourceLinked="0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P/N Ratio</a:t>
                </a:r>
              </a:p>
            </rich>
          </tx>
        </title>
        <numFmt formatCode="0.00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APPLE INC. - INCOME STATEMENT</t>
        </is>
      </c>
    </row>
    <row r="2">
      <c r="A2" s="2" t="inlineStr">
        <is>
          <t>Scale / Reporting Currency: (In millions, except number of shares, which are reflected in thousands, and per-share amounts)</t>
        </is>
      </c>
    </row>
    <row r="4">
      <c r="A4" s="3" t="inlineStr">
        <is>
          <t>Line Item / Account</t>
        </is>
      </c>
      <c r="B4" s="4" t="inlineStr">
        <is>
          <t>2025</t>
        </is>
      </c>
      <c r="C4" s="4" t="inlineStr">
        <is>
          <t>2024</t>
        </is>
      </c>
      <c r="D4" s="4" t="inlineStr">
        <is>
          <t>2023</t>
        </is>
      </c>
      <c r="E4" s="4" t="inlineStr">
        <is>
          <t>2022</t>
        </is>
      </c>
      <c r="F4" s="4" t="inlineStr">
        <is>
          <t>2021</t>
        </is>
      </c>
      <c r="G4" s="4" t="inlineStr">
        <is>
          <t>2020</t>
        </is>
      </c>
      <c r="H4" s="4" t="inlineStr">
        <is>
          <t>2019</t>
        </is>
      </c>
      <c r="I4" s="4" t="inlineStr">
        <is>
          <t>2018</t>
        </is>
      </c>
      <c r="J4" s="4" t="inlineStr">
        <is>
          <t>2017</t>
        </is>
      </c>
      <c r="K4" s="4" t="inlineStr">
        <is>
          <t>2016</t>
        </is>
      </c>
    </row>
    <row r="5">
      <c r="A5" s="5" t="inlineStr">
        <is>
          <t>Net sales:</t>
        </is>
      </c>
    </row>
    <row r="6">
      <c r="A6" s="6" t="inlineStr">
        <is>
          <t>Products</t>
        </is>
      </c>
      <c r="B6" s="7" t="n">
        <v>307003</v>
      </c>
      <c r="C6" s="7" t="n">
        <v>294866</v>
      </c>
      <c r="D6" s="7" t="n">
        <v>298085</v>
      </c>
      <c r="E6" s="7" t="n">
        <v>316199</v>
      </c>
      <c r="F6" s="7" t="n">
        <v>297392</v>
      </c>
      <c r="G6" s="7" t="n">
        <v>220747</v>
      </c>
      <c r="H6" s="7" t="n">
        <v>213883</v>
      </c>
      <c r="I6" s="7" t="n">
        <v>225847</v>
      </c>
      <c r="J6" s="7" t="n">
        <v>196534</v>
      </c>
    </row>
    <row r="7">
      <c r="A7" s="6" t="inlineStr">
        <is>
          <t>Services</t>
        </is>
      </c>
      <c r="B7" s="7" t="n">
        <v>109158</v>
      </c>
      <c r="C7" s="7" t="n">
        <v>96169</v>
      </c>
      <c r="D7" s="7" t="n">
        <v>85200</v>
      </c>
      <c r="E7" s="7" t="n">
        <v>78129</v>
      </c>
      <c r="F7" s="7" t="n">
        <v>68425</v>
      </c>
      <c r="G7" s="7" t="n">
        <v>53768</v>
      </c>
      <c r="H7" s="7" t="n">
        <v>46291</v>
      </c>
      <c r="I7" s="7" t="n">
        <v>39748</v>
      </c>
      <c r="J7" s="7" t="n">
        <v>32700</v>
      </c>
    </row>
    <row r="8">
      <c r="A8" s="6" t="inlineStr">
        <is>
          <t>Total net sales</t>
        </is>
      </c>
      <c r="B8" s="7" t="n">
        <v>416161</v>
      </c>
      <c r="C8" s="7" t="n">
        <v>391035</v>
      </c>
      <c r="D8" s="7" t="n">
        <v>383285</v>
      </c>
      <c r="E8" s="7" t="n">
        <v>394328</v>
      </c>
      <c r="F8" s="7" t="n">
        <v>365817</v>
      </c>
      <c r="G8" s="7" t="n">
        <v>274515</v>
      </c>
      <c r="H8" s="7" t="n">
        <v>260174</v>
      </c>
      <c r="I8" s="7" t="n">
        <v>265595</v>
      </c>
      <c r="J8" s="7" t="n">
        <v>229234</v>
      </c>
      <c r="K8" s="7" t="n">
        <v>215639</v>
      </c>
    </row>
    <row r="9">
      <c r="A9" s="5" t="inlineStr">
        <is>
          <t>Cost of sales:</t>
        </is>
      </c>
    </row>
    <row r="10">
      <c r="A10" s="6" t="inlineStr">
        <is>
          <t>Products</t>
        </is>
      </c>
      <c r="B10" s="7" t="n">
        <v>194116</v>
      </c>
      <c r="C10" s="7" t="n">
        <v>185233</v>
      </c>
      <c r="D10" s="7" t="n">
        <v>189282</v>
      </c>
      <c r="E10" s="7" t="n">
        <v>201471</v>
      </c>
      <c r="F10" s="7" t="n">
        <v>192266</v>
      </c>
      <c r="G10" s="7" t="n">
        <v>151286</v>
      </c>
      <c r="H10" s="7" t="n">
        <v>144996</v>
      </c>
      <c r="I10" s="7" t="n">
        <v>148164</v>
      </c>
      <c r="J10" s="7" t="n">
        <v>126337</v>
      </c>
    </row>
    <row r="11">
      <c r="A11" s="6" t="inlineStr">
        <is>
          <t>Services</t>
        </is>
      </c>
      <c r="B11" s="7" t="n">
        <v>26844</v>
      </c>
      <c r="C11" s="7" t="n">
        <v>25119</v>
      </c>
      <c r="D11" s="7" t="n">
        <v>24855</v>
      </c>
      <c r="E11" s="7" t="n">
        <v>22075</v>
      </c>
      <c r="F11" s="7" t="n">
        <v>20715</v>
      </c>
      <c r="G11" s="7" t="n">
        <v>18273</v>
      </c>
      <c r="H11" s="7" t="n">
        <v>16786</v>
      </c>
      <c r="I11" s="7" t="n">
        <v>15592</v>
      </c>
      <c r="J11" s="7" t="n">
        <v>14711</v>
      </c>
    </row>
    <row r="12">
      <c r="A12" s="6" t="inlineStr">
        <is>
          <t>Total cost of sales</t>
        </is>
      </c>
      <c r="B12" s="7" t="n">
        <v>220960</v>
      </c>
      <c r="C12" s="7" t="n">
        <v>210352</v>
      </c>
      <c r="D12" s="7" t="n">
        <v>214137</v>
      </c>
      <c r="E12" s="7" t="n">
        <v>223546</v>
      </c>
      <c r="F12" s="7" t="n">
        <v>212981</v>
      </c>
      <c r="G12" s="7" t="n">
        <v>169559</v>
      </c>
      <c r="H12" s="7" t="n">
        <v>161782</v>
      </c>
      <c r="I12" s="7" t="n">
        <v>163756</v>
      </c>
      <c r="J12" s="7" t="n">
        <v>141048</v>
      </c>
      <c r="K12" s="7" t="n">
        <v>131376</v>
      </c>
    </row>
    <row r="13">
      <c r="A13" s="6" t="inlineStr">
        <is>
          <t>Gross margin</t>
        </is>
      </c>
      <c r="B13" s="7" t="n">
        <v>195201</v>
      </c>
      <c r="C13" s="7" t="n">
        <v>180683</v>
      </c>
      <c r="D13" s="7" t="n">
        <v>169148</v>
      </c>
      <c r="E13" s="7" t="n">
        <v>170782</v>
      </c>
      <c r="F13" s="7" t="n">
        <v>152836</v>
      </c>
      <c r="G13" s="7" t="n">
        <v>104956</v>
      </c>
      <c r="H13" s="7" t="n">
        <v>98392</v>
      </c>
      <c r="I13" s="7" t="n">
        <v>101839</v>
      </c>
      <c r="J13" s="7" t="n">
        <v>88186</v>
      </c>
      <c r="K13" s="7" t="n">
        <v>84263</v>
      </c>
    </row>
    <row r="14">
      <c r="A14" s="5" t="inlineStr">
        <is>
          <t>Operating expenses:</t>
        </is>
      </c>
    </row>
    <row r="15">
      <c r="A15" s="6" t="inlineStr">
        <is>
          <t>Research and development</t>
        </is>
      </c>
      <c r="B15" s="7" t="n">
        <v>34550</v>
      </c>
      <c r="C15" s="7" t="n">
        <v>31370</v>
      </c>
      <c r="D15" s="7" t="n">
        <v>29915</v>
      </c>
      <c r="E15" s="7" t="n">
        <v>26251</v>
      </c>
      <c r="F15" s="7" t="n">
        <v>21914</v>
      </c>
      <c r="G15" s="7" t="n">
        <v>18752</v>
      </c>
      <c r="H15" s="7" t="n">
        <v>16217</v>
      </c>
      <c r="I15" s="7" t="n">
        <v>14236</v>
      </c>
      <c r="J15" s="7" t="n">
        <v>11581</v>
      </c>
      <c r="K15" s="7" t="n">
        <v>10045</v>
      </c>
    </row>
    <row r="16">
      <c r="A16" s="6" t="inlineStr">
        <is>
          <t>Selling, general and administrative</t>
        </is>
      </c>
      <c r="B16" s="7" t="n">
        <v>27601</v>
      </c>
      <c r="C16" s="7" t="n">
        <v>26097</v>
      </c>
      <c r="D16" s="7" t="n">
        <v>24932</v>
      </c>
      <c r="E16" s="7" t="n">
        <v>25094</v>
      </c>
      <c r="F16" s="7" t="n">
        <v>21973</v>
      </c>
      <c r="G16" s="7" t="n">
        <v>19916</v>
      </c>
      <c r="H16" s="7" t="n">
        <v>18245</v>
      </c>
      <c r="I16" s="7" t="n">
        <v>16705</v>
      </c>
      <c r="J16" s="7" t="n">
        <v>15261</v>
      </c>
      <c r="K16" s="7" t="n">
        <v>14194</v>
      </c>
    </row>
    <row r="17">
      <c r="A17" s="6" t="inlineStr">
        <is>
          <t>Total operating expenses</t>
        </is>
      </c>
      <c r="B17" s="7" t="n">
        <v>62151</v>
      </c>
      <c r="C17" s="7" t="n">
        <v>57467</v>
      </c>
      <c r="D17" s="7" t="n">
        <v>54847</v>
      </c>
      <c r="E17" s="7" t="n">
        <v>51345</v>
      </c>
      <c r="F17" s="7" t="n">
        <v>43887</v>
      </c>
      <c r="G17" s="7" t="n">
        <v>38668</v>
      </c>
      <c r="H17" s="7" t="n">
        <v>34462</v>
      </c>
      <c r="I17" s="7" t="n">
        <v>30941</v>
      </c>
      <c r="J17" s="7" t="n">
        <v>26842</v>
      </c>
      <c r="K17" s="7" t="n">
        <v>24239</v>
      </c>
    </row>
    <row r="18">
      <c r="A18" s="6" t="inlineStr">
        <is>
          <t>Operating income</t>
        </is>
      </c>
      <c r="B18" s="7" t="n">
        <v>133050</v>
      </c>
      <c r="C18" s="7" t="n">
        <v>123216</v>
      </c>
      <c r="D18" s="7" t="n">
        <v>114301</v>
      </c>
      <c r="E18" s="7" t="n">
        <v>119437</v>
      </c>
      <c r="F18" s="7" t="n">
        <v>108949</v>
      </c>
      <c r="G18" s="7" t="n">
        <v>66288</v>
      </c>
      <c r="H18" s="7" t="n">
        <v>63930</v>
      </c>
      <c r="I18" s="7" t="n">
        <v>70898</v>
      </c>
      <c r="J18" s="7" t="n">
        <v>61344</v>
      </c>
      <c r="K18" s="7" t="n">
        <v>60024</v>
      </c>
    </row>
    <row r="19">
      <c r="A19" s="6" t="inlineStr">
        <is>
          <t>Other income/(expense), net</t>
        </is>
      </c>
      <c r="B19" s="7" t="n">
        <v>-321</v>
      </c>
      <c r="C19" s="7" t="n">
        <v>269</v>
      </c>
      <c r="D19" s="7" t="n">
        <v>-565</v>
      </c>
      <c r="E19" s="7" t="n">
        <v>-334</v>
      </c>
      <c r="F19" s="7" t="n">
        <v>258</v>
      </c>
      <c r="G19" s="7" t="n">
        <v>803</v>
      </c>
      <c r="H19" s="7" t="n">
        <v>1807</v>
      </c>
      <c r="I19" s="7" t="n">
        <v>2005</v>
      </c>
      <c r="J19" s="7" t="n">
        <v>2745</v>
      </c>
      <c r="K19" s="7" t="n">
        <v>1348</v>
      </c>
    </row>
    <row r="20">
      <c r="A20" s="6" t="inlineStr">
        <is>
          <t>Income before provision for income taxes</t>
        </is>
      </c>
      <c r="B20" s="7" t="n">
        <v>132729</v>
      </c>
      <c r="C20" s="7" t="n">
        <v>123485</v>
      </c>
      <c r="D20" s="7" t="n">
        <v>113736</v>
      </c>
      <c r="E20" s="7" t="n">
        <v>119103</v>
      </c>
      <c r="F20" s="7" t="n">
        <v>109207</v>
      </c>
      <c r="G20" s="7" t="n">
        <v>67091</v>
      </c>
      <c r="H20" s="7" t="n">
        <v>65737</v>
      </c>
      <c r="I20" s="7" t="n">
        <v>72903</v>
      </c>
      <c r="J20" s="7" t="n">
        <v>64089</v>
      </c>
      <c r="K20" s="7" t="n">
        <v>61372</v>
      </c>
    </row>
    <row r="21">
      <c r="A21" s="6" t="inlineStr">
        <is>
          <t>Provision for income taxes</t>
        </is>
      </c>
      <c r="B21" s="7" t="n">
        <v>20719</v>
      </c>
      <c r="C21" s="7" t="n">
        <v>29749</v>
      </c>
      <c r="D21" s="7" t="n">
        <v>16741</v>
      </c>
      <c r="E21" s="7" t="n">
        <v>19300</v>
      </c>
      <c r="F21" s="7" t="n">
        <v>14527</v>
      </c>
      <c r="G21" s="7" t="n">
        <v>9680</v>
      </c>
      <c r="H21" s="7" t="n">
        <v>10481</v>
      </c>
      <c r="I21" s="7" t="n">
        <v>13372</v>
      </c>
      <c r="J21" s="7" t="n">
        <v>15738</v>
      </c>
      <c r="K21" s="7" t="n">
        <v>15685</v>
      </c>
    </row>
    <row r="22">
      <c r="A22" s="6" t="inlineStr">
        <is>
          <t>Net income</t>
        </is>
      </c>
      <c r="B22" s="7" t="n">
        <v>112010</v>
      </c>
      <c r="C22" s="7" t="n">
        <v>93736</v>
      </c>
      <c r="D22" s="7" t="n">
        <v>96995</v>
      </c>
      <c r="E22" s="7" t="n">
        <v>99803</v>
      </c>
      <c r="F22" s="7" t="n">
        <v>94680</v>
      </c>
      <c r="G22" s="7" t="n">
        <v>57411</v>
      </c>
      <c r="H22" s="7" t="n">
        <v>55256</v>
      </c>
      <c r="I22" s="7" t="n">
        <v>59531</v>
      </c>
      <c r="J22" s="7" t="n">
        <v>48351</v>
      </c>
      <c r="K22" s="7" t="n">
        <v>45687</v>
      </c>
    </row>
    <row r="23">
      <c r="A23" s="5" t="inlineStr">
        <is>
          <t>Earnings per share:</t>
        </is>
      </c>
    </row>
    <row r="24">
      <c r="A24" s="6" t="inlineStr">
        <is>
          <t>Basic</t>
        </is>
      </c>
      <c r="B24" s="7" t="n">
        <v>7.49</v>
      </c>
      <c r="C24" s="7" t="n">
        <v>6.11</v>
      </c>
      <c r="D24" s="7" t="n">
        <v>6.16</v>
      </c>
      <c r="E24" s="7" t="n">
        <v>6.15</v>
      </c>
      <c r="F24" s="7" t="n">
        <v>5.67</v>
      </c>
      <c r="G24" s="7" t="n">
        <v>3.31</v>
      </c>
      <c r="H24" s="7" t="n">
        <v>2.99</v>
      </c>
      <c r="I24" s="7" t="n">
        <v>3</v>
      </c>
      <c r="J24" s="7" t="n">
        <v>9.27</v>
      </c>
      <c r="K24" s="7" t="n">
        <v>8.35</v>
      </c>
    </row>
    <row r="25">
      <c r="A25" s="6" t="inlineStr">
        <is>
          <t>Diluted</t>
        </is>
      </c>
      <c r="B25" s="7" t="n">
        <v>7.46</v>
      </c>
      <c r="C25" s="7" t="n">
        <v>6.08</v>
      </c>
      <c r="D25" s="7" t="n">
        <v>6.13</v>
      </c>
      <c r="E25" s="7" t="n">
        <v>6.11</v>
      </c>
      <c r="F25" s="7" t="n">
        <v>5.61</v>
      </c>
      <c r="G25" s="7" t="n">
        <v>3.28</v>
      </c>
      <c r="H25" s="7" t="n">
        <v>2.97</v>
      </c>
      <c r="I25" s="7" t="n">
        <v>2.98</v>
      </c>
      <c r="J25" s="7" t="n">
        <v>9.210000000000001</v>
      </c>
      <c r="K25" s="7" t="n">
        <v>8.31</v>
      </c>
    </row>
    <row r="26">
      <c r="A26" s="5" t="inlineStr">
        <is>
          <t>Shares used in computing earnings per share:</t>
        </is>
      </c>
    </row>
    <row r="27">
      <c r="A27" s="6" t="inlineStr">
        <is>
          <t>Basic</t>
        </is>
      </c>
      <c r="B27" s="7" t="n">
        <v>14948500</v>
      </c>
      <c r="C27" s="7" t="n">
        <v>15343783</v>
      </c>
      <c r="D27" s="7" t="n">
        <v>15744231</v>
      </c>
      <c r="E27" s="7" t="n">
        <v>16215963</v>
      </c>
      <c r="F27" s="7" t="n">
        <v>16701272</v>
      </c>
      <c r="G27" s="7" t="n">
        <v>17352119</v>
      </c>
      <c r="H27" s="7" t="n">
        <v>18471336</v>
      </c>
      <c r="I27" s="7" t="n">
        <v>19821510</v>
      </c>
      <c r="J27" s="7" t="n">
        <v>5217242</v>
      </c>
      <c r="K27" s="7" t="n">
        <v>5470820</v>
      </c>
    </row>
    <row r="28">
      <c r="A28" s="6" t="inlineStr">
        <is>
          <t>Diluted</t>
        </is>
      </c>
      <c r="B28" s="7" t="n">
        <v>15004697</v>
      </c>
      <c r="C28" s="7" t="n">
        <v>15408095</v>
      </c>
      <c r="D28" s="7" t="n">
        <v>15812547</v>
      </c>
      <c r="E28" s="7" t="n">
        <v>16325819</v>
      </c>
      <c r="F28" s="7" t="n">
        <v>16864919</v>
      </c>
      <c r="G28" s="7" t="n">
        <v>17528214</v>
      </c>
      <c r="H28" s="7" t="n">
        <v>18595651</v>
      </c>
      <c r="I28" s="7" t="n">
        <v>20000435</v>
      </c>
      <c r="J28" s="7" t="n">
        <v>5251692</v>
      </c>
      <c r="K28" s="7" t="n">
        <v>5500281</v>
      </c>
    </row>
    <row r="29">
      <c r="A29" s="6" t="inlineStr">
        <is>
          <t>Cash dividends declared per share</t>
        </is>
      </c>
      <c r="J29" s="8" t="n">
        <v>2.4</v>
      </c>
      <c r="K29" s="8" t="n">
        <v>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APPLE INC. - BALANCE SHEET</t>
        </is>
      </c>
    </row>
    <row r="2">
      <c r="A2" s="2" t="inlineStr">
        <is>
          <t>Scale / Reporting Currency: (In millions, except number of shares, which are reflected in thousands, and par value)</t>
        </is>
      </c>
    </row>
    <row r="4">
      <c r="A4" s="3" t="inlineStr">
        <is>
          <t>Line Item / Account</t>
        </is>
      </c>
      <c r="B4" s="4" t="inlineStr">
        <is>
          <t>2025</t>
        </is>
      </c>
      <c r="C4" s="4" t="inlineStr">
        <is>
          <t>2024</t>
        </is>
      </c>
      <c r="D4" s="4" t="inlineStr">
        <is>
          <t>2023</t>
        </is>
      </c>
      <c r="E4" s="4" t="inlineStr">
        <is>
          <t>2022</t>
        </is>
      </c>
      <c r="F4" s="4" t="inlineStr">
        <is>
          <t>2021</t>
        </is>
      </c>
      <c r="G4" s="4" t="inlineStr">
        <is>
          <t>2020</t>
        </is>
      </c>
      <c r="H4" s="4" t="inlineStr">
        <is>
          <t>2019</t>
        </is>
      </c>
      <c r="I4" s="4" t="inlineStr">
        <is>
          <t>2018</t>
        </is>
      </c>
      <c r="J4" s="4" t="inlineStr">
        <is>
          <t>2017</t>
        </is>
      </c>
      <c r="K4" s="4" t="inlineStr">
        <is>
          <t>2016</t>
        </is>
      </c>
    </row>
    <row r="5">
      <c r="A5" s="5" t="inlineStr">
        <is>
          <t>ASSETS:</t>
        </is>
      </c>
    </row>
    <row r="6">
      <c r="A6" s="5" t="inlineStr">
        <is>
          <t>Current assets:</t>
        </is>
      </c>
    </row>
    <row r="7">
      <c r="A7" s="6" t="inlineStr">
        <is>
          <t>Cash and cash equivalents</t>
        </is>
      </c>
      <c r="B7" s="7" t="n">
        <v>35934</v>
      </c>
      <c r="C7" s="7" t="n">
        <v>29943</v>
      </c>
      <c r="D7" s="7" t="n">
        <v>29965</v>
      </c>
      <c r="E7" s="7" t="n">
        <v>23646</v>
      </c>
      <c r="F7" s="7" t="n">
        <v>34940</v>
      </c>
      <c r="G7" s="7" t="n">
        <v>38016</v>
      </c>
      <c r="H7" s="7" t="n">
        <v>48844</v>
      </c>
      <c r="I7" s="7" t="n">
        <v>25913</v>
      </c>
      <c r="J7" s="7" t="n">
        <v>20289</v>
      </c>
      <c r="K7" s="7" t="n">
        <v>20484</v>
      </c>
    </row>
    <row r="8">
      <c r="A8" s="6" t="inlineStr">
        <is>
          <t>Marketable securities</t>
        </is>
      </c>
      <c r="B8" s="7" t="n">
        <v>18763</v>
      </c>
      <c r="C8" s="7" t="n">
        <v>35228</v>
      </c>
      <c r="D8" s="7" t="n">
        <v>31590</v>
      </c>
      <c r="E8" s="7" t="n">
        <v>24658</v>
      </c>
      <c r="F8" s="7" t="n">
        <v>27699</v>
      </c>
      <c r="G8" s="7" t="n">
        <v>52927</v>
      </c>
      <c r="H8" s="7" t="n">
        <v>51713</v>
      </c>
      <c r="I8" s="7" t="n">
        <v>40388</v>
      </c>
      <c r="J8" s="7" t="n">
        <v>53892</v>
      </c>
      <c r="K8" s="7" t="n">
        <v>46671</v>
      </c>
    </row>
    <row r="9">
      <c r="A9" s="6" t="inlineStr">
        <is>
          <t>Accounts receivable, net</t>
        </is>
      </c>
      <c r="B9" s="7" t="n">
        <v>39777</v>
      </c>
      <c r="C9" s="7" t="n">
        <v>33410</v>
      </c>
      <c r="D9" s="7" t="n">
        <v>29508</v>
      </c>
      <c r="E9" s="7" t="n">
        <v>28184</v>
      </c>
      <c r="F9" s="7" t="n">
        <v>26278</v>
      </c>
      <c r="G9" s="7" t="n">
        <v>16120</v>
      </c>
      <c r="H9" s="7" t="n">
        <v>22926</v>
      </c>
      <c r="I9" s="7" t="n">
        <v>23186</v>
      </c>
      <c r="J9" s="7" t="n">
        <v>17874</v>
      </c>
      <c r="K9" s="7" t="n">
        <v>15754</v>
      </c>
    </row>
    <row r="10">
      <c r="A10" s="6" t="inlineStr">
        <is>
          <t>Vendor non-trade receivables</t>
        </is>
      </c>
      <c r="B10" s="7" t="n">
        <v>33180</v>
      </c>
      <c r="C10" s="7" t="n">
        <v>32833</v>
      </c>
      <c r="D10" s="7" t="n">
        <v>31477</v>
      </c>
      <c r="E10" s="7" t="n">
        <v>32748</v>
      </c>
      <c r="F10" s="7" t="n">
        <v>25228</v>
      </c>
      <c r="G10" s="7" t="n">
        <v>21325</v>
      </c>
      <c r="H10" s="7" t="n">
        <v>22878</v>
      </c>
      <c r="I10" s="7" t="n">
        <v>25809</v>
      </c>
      <c r="J10" s="7" t="n">
        <v>17799</v>
      </c>
      <c r="K10" s="7" t="n">
        <v>13545</v>
      </c>
    </row>
    <row r="11">
      <c r="A11" s="6" t="inlineStr">
        <is>
          <t>Inventories</t>
        </is>
      </c>
      <c r="B11" s="7" t="n">
        <v>5718</v>
      </c>
      <c r="C11" s="7" t="n">
        <v>7286</v>
      </c>
      <c r="D11" s="7" t="n">
        <v>6331</v>
      </c>
      <c r="E11" s="7" t="n">
        <v>4946</v>
      </c>
      <c r="F11" s="7" t="n">
        <v>6580</v>
      </c>
      <c r="G11" s="7" t="n">
        <v>4061</v>
      </c>
      <c r="H11" s="7" t="n">
        <v>4106</v>
      </c>
      <c r="I11" s="7" t="n">
        <v>3956</v>
      </c>
      <c r="J11" s="7" t="n">
        <v>4855</v>
      </c>
      <c r="K11" s="7" t="n">
        <v>2132</v>
      </c>
    </row>
    <row r="12">
      <c r="A12" s="6" t="inlineStr">
        <is>
          <t>Other current assets</t>
        </is>
      </c>
      <c r="B12" s="7" t="n">
        <v>14585</v>
      </c>
      <c r="C12" s="7" t="n">
        <v>14287</v>
      </c>
      <c r="D12" s="7" t="n">
        <v>14695</v>
      </c>
      <c r="E12" s="7" t="n">
        <v>21223</v>
      </c>
      <c r="F12" s="7" t="n">
        <v>14111</v>
      </c>
      <c r="G12" s="7" t="n">
        <v>11264</v>
      </c>
      <c r="H12" s="7" t="n">
        <v>12352</v>
      </c>
      <c r="I12" s="7" t="n">
        <v>12087</v>
      </c>
      <c r="J12" s="7" t="n">
        <v>13936</v>
      </c>
      <c r="K12" s="7" t="n">
        <v>8283</v>
      </c>
    </row>
    <row r="13">
      <c r="A13" s="6" t="inlineStr">
        <is>
          <t>Total current assets</t>
        </is>
      </c>
      <c r="B13" s="7" t="n">
        <v>147957</v>
      </c>
      <c r="C13" s="7" t="n">
        <v>152987</v>
      </c>
      <c r="D13" s="7" t="n">
        <v>143566</v>
      </c>
      <c r="E13" s="7" t="n">
        <v>135405</v>
      </c>
      <c r="F13" s="7" t="n">
        <v>134836</v>
      </c>
      <c r="G13" s="7" t="n">
        <v>143713</v>
      </c>
      <c r="H13" s="7" t="n">
        <v>162819</v>
      </c>
      <c r="I13" s="7" t="n">
        <v>131339</v>
      </c>
      <c r="J13" s="7" t="n">
        <v>128645</v>
      </c>
      <c r="K13" s="7" t="n">
        <v>106869</v>
      </c>
    </row>
    <row r="14">
      <c r="A14" s="6" t="inlineStr">
        <is>
          <t>Goodwill</t>
        </is>
      </c>
      <c r="J14" s="7" t="n">
        <v>5717</v>
      </c>
      <c r="K14" s="7" t="n">
        <v>5414</v>
      </c>
    </row>
    <row r="15">
      <c r="A15" s="6" t="inlineStr">
        <is>
          <t>Acquired intangible assets, net</t>
        </is>
      </c>
      <c r="J15" s="7" t="n">
        <v>2298</v>
      </c>
      <c r="K15" s="7" t="n">
        <v>3206</v>
      </c>
    </row>
    <row r="16">
      <c r="A16" s="6" t="inlineStr">
        <is>
          <t>Other non-current assets</t>
        </is>
      </c>
      <c r="J16" s="7" t="n">
        <v>10162</v>
      </c>
      <c r="K16" s="7" t="n">
        <v>8757</v>
      </c>
    </row>
    <row r="17">
      <c r="A17" s="5" t="inlineStr">
        <is>
          <t>Non-current assets:</t>
        </is>
      </c>
    </row>
    <row r="18">
      <c r="A18" s="6" t="inlineStr">
        <is>
          <t>Marketable securities</t>
        </is>
      </c>
      <c r="B18" s="7" t="n">
        <v>77723</v>
      </c>
      <c r="C18" s="7" t="n">
        <v>91479</v>
      </c>
      <c r="D18" s="7" t="n">
        <v>100544</v>
      </c>
      <c r="E18" s="7" t="n">
        <v>120805</v>
      </c>
      <c r="F18" s="7" t="n">
        <v>127877</v>
      </c>
      <c r="G18" s="7" t="n">
        <v>100887</v>
      </c>
      <c r="H18" s="7" t="n">
        <v>105341</v>
      </c>
      <c r="I18" s="7" t="n">
        <v>170799</v>
      </c>
      <c r="J18" s="7" t="n">
        <v>194714</v>
      </c>
      <c r="K18" s="7" t="n">
        <v>170430</v>
      </c>
    </row>
    <row r="19">
      <c r="A19" s="6" t="inlineStr">
        <is>
          <t>Property, plant and equipment, net</t>
        </is>
      </c>
      <c r="B19" s="7" t="n">
        <v>49834</v>
      </c>
      <c r="C19" s="7" t="n">
        <v>45680</v>
      </c>
      <c r="D19" s="7" t="n">
        <v>43715</v>
      </c>
      <c r="E19" s="7" t="n">
        <v>42117</v>
      </c>
      <c r="F19" s="7" t="n">
        <v>39440</v>
      </c>
      <c r="G19" s="7" t="n">
        <v>36766</v>
      </c>
      <c r="H19" s="7" t="n">
        <v>37378</v>
      </c>
      <c r="I19" s="7" t="n">
        <v>41304</v>
      </c>
      <c r="J19" s="7" t="n">
        <v>33783</v>
      </c>
      <c r="K19" s="7" t="n">
        <v>27010</v>
      </c>
    </row>
    <row r="20">
      <c r="A20" s="6" t="inlineStr">
        <is>
          <t>Other non-current assets</t>
        </is>
      </c>
      <c r="B20" s="7" t="n">
        <v>83727</v>
      </c>
      <c r="C20" s="7" t="n">
        <v>74834</v>
      </c>
      <c r="D20" s="7" t="n">
        <v>64758</v>
      </c>
      <c r="E20" s="7" t="n">
        <v>54428</v>
      </c>
      <c r="F20" s="7" t="n">
        <v>48849</v>
      </c>
      <c r="G20" s="7" t="n">
        <v>42522</v>
      </c>
      <c r="H20" s="7" t="n">
        <v>32978</v>
      </c>
      <c r="I20" s="7" t="n">
        <v>22283</v>
      </c>
      <c r="J20" s="7" t="n">
        <v>18177</v>
      </c>
    </row>
    <row r="21">
      <c r="A21" s="6" t="inlineStr">
        <is>
          <t>Total non-current assets</t>
        </is>
      </c>
      <c r="B21" s="7" t="n">
        <v>211284</v>
      </c>
      <c r="C21" s="7" t="n">
        <v>211993</v>
      </c>
      <c r="D21" s="7" t="n">
        <v>209017</v>
      </c>
      <c r="E21" s="7" t="n">
        <v>217350</v>
      </c>
      <c r="F21" s="7" t="n">
        <v>216166</v>
      </c>
      <c r="G21" s="7" t="n">
        <v>180175</v>
      </c>
      <c r="H21" s="7" t="n">
        <v>175697</v>
      </c>
      <c r="I21" s="7" t="n">
        <v>234386</v>
      </c>
      <c r="J21" s="7" t="n">
        <v>246674</v>
      </c>
    </row>
    <row r="22">
      <c r="A22" s="6" t="inlineStr">
        <is>
          <t>Total assets</t>
        </is>
      </c>
      <c r="B22" s="7" t="n">
        <v>359241</v>
      </c>
      <c r="C22" s="7" t="n">
        <v>364980</v>
      </c>
      <c r="D22" s="7" t="n">
        <v>352583</v>
      </c>
      <c r="E22" s="7" t="n">
        <v>352755</v>
      </c>
      <c r="F22" s="7" t="n">
        <v>351002</v>
      </c>
      <c r="G22" s="7" t="n">
        <v>323888</v>
      </c>
      <c r="H22" s="7" t="n">
        <v>338516</v>
      </c>
      <c r="I22" s="7" t="n">
        <v>365725</v>
      </c>
      <c r="J22" s="7" t="n">
        <v>375319</v>
      </c>
      <c r="K22" s="7" t="n">
        <v>321686</v>
      </c>
    </row>
    <row r="23">
      <c r="A23" s="5" t="inlineStr">
        <is>
          <t>LIABILITIES AND SHAREHOLDERS’ EQUITY:</t>
        </is>
      </c>
    </row>
    <row r="24">
      <c r="A24" s="5" t="inlineStr">
        <is>
          <t>Current liabilities:</t>
        </is>
      </c>
    </row>
    <row r="25">
      <c r="A25" s="6" t="inlineStr">
        <is>
          <t>Accounts payable</t>
        </is>
      </c>
      <c r="B25" s="7" t="n">
        <v>69860</v>
      </c>
      <c r="C25" s="7" t="n">
        <v>68960</v>
      </c>
      <c r="D25" s="7" t="n">
        <v>62611</v>
      </c>
      <c r="E25" s="7" t="n">
        <v>64115</v>
      </c>
      <c r="F25" s="7" t="n">
        <v>54763</v>
      </c>
      <c r="G25" s="7" t="n">
        <v>42296</v>
      </c>
      <c r="H25" s="7" t="n">
        <v>46236</v>
      </c>
      <c r="I25" s="7" t="n">
        <v>55888</v>
      </c>
      <c r="J25" s="7" t="n">
        <v>44242</v>
      </c>
      <c r="K25" s="7" t="n">
        <v>37294</v>
      </c>
    </row>
    <row r="26">
      <c r="A26" s="6" t="inlineStr">
        <is>
          <t>Accrued expenses</t>
        </is>
      </c>
      <c r="J26" s="7" t="n">
        <v>25744</v>
      </c>
      <c r="K26" s="7" t="n">
        <v>22027</v>
      </c>
    </row>
    <row r="27">
      <c r="A27" s="6" t="inlineStr">
        <is>
          <t>Other current liabilities</t>
        </is>
      </c>
      <c r="B27" s="7" t="n">
        <v>66387</v>
      </c>
      <c r="C27" s="7" t="n">
        <v>78304</v>
      </c>
      <c r="D27" s="7" t="n">
        <v>58829</v>
      </c>
      <c r="E27" s="7" t="n">
        <v>60845</v>
      </c>
      <c r="F27" s="7" t="n">
        <v>47493</v>
      </c>
      <c r="G27" s="7" t="n">
        <v>42684</v>
      </c>
      <c r="H27" s="7" t="n">
        <v>37720</v>
      </c>
      <c r="I27" s="7" t="n">
        <v>33327</v>
      </c>
      <c r="J27" s="7" t="n">
        <v>30551</v>
      </c>
    </row>
    <row r="28">
      <c r="A28" s="6" t="inlineStr">
        <is>
          <t>Deferred revenue</t>
        </is>
      </c>
      <c r="B28" s="7" t="n">
        <v>9055</v>
      </c>
      <c r="C28" s="7" t="n">
        <v>8249</v>
      </c>
      <c r="D28" s="7" t="n">
        <v>8061</v>
      </c>
      <c r="E28" s="7" t="n">
        <v>7912</v>
      </c>
      <c r="F28" s="7" t="n">
        <v>7612</v>
      </c>
      <c r="G28" s="7" t="n">
        <v>6643</v>
      </c>
      <c r="H28" s="7" t="n">
        <v>5522</v>
      </c>
      <c r="I28" s="7" t="n">
        <v>5966</v>
      </c>
      <c r="J28" s="7" t="n">
        <v>7548</v>
      </c>
      <c r="K28" s="7" t="n">
        <v>8080</v>
      </c>
    </row>
    <row r="29">
      <c r="A29" s="6" t="inlineStr">
        <is>
          <t>Commercial paper</t>
        </is>
      </c>
      <c r="B29" s="7" t="n">
        <v>7979</v>
      </c>
      <c r="C29" s="7" t="n">
        <v>9967</v>
      </c>
      <c r="D29" s="7" t="n">
        <v>5985</v>
      </c>
      <c r="E29" s="7" t="n">
        <v>9982</v>
      </c>
      <c r="F29" s="7" t="n">
        <v>6000</v>
      </c>
      <c r="G29" s="7" t="n">
        <v>4996</v>
      </c>
      <c r="H29" s="7" t="n">
        <v>5980</v>
      </c>
      <c r="I29" s="7" t="n">
        <v>11964</v>
      </c>
      <c r="J29" s="7" t="n">
        <v>11977</v>
      </c>
      <c r="K29" s="7" t="n">
        <v>8105</v>
      </c>
    </row>
    <row r="30">
      <c r="A30" s="6" t="inlineStr">
        <is>
          <t>Term debt</t>
        </is>
      </c>
      <c r="B30" s="7" t="n">
        <v>12350</v>
      </c>
      <c r="C30" s="7" t="n">
        <v>10912</v>
      </c>
      <c r="D30" s="7" t="n">
        <v>9822</v>
      </c>
      <c r="E30" s="7" t="n">
        <v>11128</v>
      </c>
      <c r="F30" s="7" t="n">
        <v>9613</v>
      </c>
      <c r="G30" s="7" t="n">
        <v>8773</v>
      </c>
      <c r="H30" s="7" t="n">
        <v>10260</v>
      </c>
      <c r="I30" s="7" t="n">
        <v>8784</v>
      </c>
      <c r="J30" s="7" t="n">
        <v>6496</v>
      </c>
      <c r="K30" s="7" t="n">
        <v>3500</v>
      </c>
    </row>
    <row r="31">
      <c r="A31" s="6" t="inlineStr">
        <is>
          <t>Total current liabilities</t>
        </is>
      </c>
      <c r="B31" s="7" t="n">
        <v>165631</v>
      </c>
      <c r="C31" s="7" t="n">
        <v>176392</v>
      </c>
      <c r="D31" s="7" t="n">
        <v>145308</v>
      </c>
      <c r="E31" s="7" t="n">
        <v>153982</v>
      </c>
      <c r="F31" s="7" t="n">
        <v>125481</v>
      </c>
      <c r="G31" s="7" t="n">
        <v>105392</v>
      </c>
      <c r="H31" s="7" t="n">
        <v>105718</v>
      </c>
      <c r="I31" s="7" t="n">
        <v>115929</v>
      </c>
      <c r="J31" s="7" t="n">
        <v>100814</v>
      </c>
      <c r="K31" s="7" t="n">
        <v>79006</v>
      </c>
    </row>
    <row r="32">
      <c r="A32" s="5" t="inlineStr">
        <is>
          <t>Non-current liabilities:</t>
        </is>
      </c>
    </row>
    <row r="33">
      <c r="A33" s="6" t="inlineStr">
        <is>
          <t>Deferred revenue</t>
        </is>
      </c>
      <c r="I33" s="7" t="n">
        <v>2797</v>
      </c>
      <c r="J33" s="7" t="n">
        <v>2836</v>
      </c>
      <c r="K33" s="7" t="n">
        <v>2930</v>
      </c>
    </row>
    <row r="34">
      <c r="A34" s="6" t="inlineStr">
        <is>
          <t>Term debt</t>
        </is>
      </c>
      <c r="B34" s="7" t="n">
        <v>78328</v>
      </c>
      <c r="C34" s="7" t="n">
        <v>85750</v>
      </c>
      <c r="D34" s="7" t="n">
        <v>95281</v>
      </c>
      <c r="E34" s="7" t="n">
        <v>98959</v>
      </c>
      <c r="F34" s="7" t="n">
        <v>109106</v>
      </c>
      <c r="G34" s="7" t="n">
        <v>98667</v>
      </c>
      <c r="H34" s="7" t="n">
        <v>91807</v>
      </c>
      <c r="I34" s="7" t="n">
        <v>93735</v>
      </c>
      <c r="J34" s="7" t="n">
        <v>97207</v>
      </c>
      <c r="K34" s="7" t="n">
        <v>75427</v>
      </c>
    </row>
    <row r="35">
      <c r="A35" s="6" t="inlineStr">
        <is>
          <t>Other non-current liabilities</t>
        </is>
      </c>
      <c r="B35" s="7" t="n">
        <v>41549</v>
      </c>
      <c r="C35" s="7" t="n">
        <v>45888</v>
      </c>
      <c r="D35" s="7" t="n">
        <v>49848</v>
      </c>
      <c r="E35" s="7" t="n">
        <v>49142</v>
      </c>
      <c r="F35" s="7" t="n">
        <v>53325</v>
      </c>
      <c r="G35" s="7" t="n">
        <v>54490</v>
      </c>
      <c r="H35" s="7" t="n">
        <v>50503</v>
      </c>
      <c r="I35" s="7" t="n">
        <v>48914</v>
      </c>
      <c r="J35" s="7" t="n">
        <v>40415</v>
      </c>
      <c r="K35" s="7" t="n">
        <v>36074</v>
      </c>
    </row>
    <row r="36">
      <c r="A36" s="6" t="inlineStr">
        <is>
          <t>Total non-current liabilities</t>
        </is>
      </c>
      <c r="B36" s="7" t="n">
        <v>119877</v>
      </c>
      <c r="C36" s="7" t="n">
        <v>131638</v>
      </c>
      <c r="D36" s="7" t="n">
        <v>145129</v>
      </c>
      <c r="E36" s="7" t="n">
        <v>148101</v>
      </c>
      <c r="F36" s="7" t="n">
        <v>162431</v>
      </c>
      <c r="G36" s="7" t="n">
        <v>153157</v>
      </c>
      <c r="H36" s="7" t="n">
        <v>142310</v>
      </c>
      <c r="I36" s="7" t="n">
        <v>142649</v>
      </c>
      <c r="J36" s="7" t="n">
        <v>140458</v>
      </c>
    </row>
    <row r="37">
      <c r="A37" s="6" t="inlineStr">
        <is>
          <t>Total liabilities</t>
        </is>
      </c>
      <c r="B37" s="7" t="n">
        <v>285508</v>
      </c>
      <c r="C37" s="7" t="n">
        <v>308030</v>
      </c>
      <c r="D37" s="7" t="n">
        <v>290437</v>
      </c>
      <c r="E37" s="7" t="n">
        <v>302083</v>
      </c>
      <c r="F37" s="7" t="n">
        <v>287912</v>
      </c>
      <c r="G37" s="7" t="n">
        <v>258549</v>
      </c>
      <c r="H37" s="7" t="n">
        <v>248028</v>
      </c>
      <c r="I37" s="7" t="n">
        <v>258578</v>
      </c>
      <c r="J37" s="7" t="n">
        <v>241272</v>
      </c>
      <c r="K37" s="7" t="n">
        <v>193437</v>
      </c>
    </row>
    <row r="38">
      <c r="A38" s="5" t="inlineStr">
        <is>
          <t>Commitments and contingencies</t>
        </is>
      </c>
    </row>
    <row r="39">
      <c r="A39" s="5" t="inlineStr">
        <is>
          <t>Shareholders’ equity:</t>
        </is>
      </c>
    </row>
    <row r="40">
      <c r="A40" s="6" t="inlineStr">
        <is>
          <t>Common stock and additional paid-in capital, $0.00001par value:50,400,000shares authorized;14,773,260and15,116,786shares issued and outstanding, respectively</t>
        </is>
      </c>
      <c r="B40" s="7" t="n">
        <v>93568</v>
      </c>
      <c r="C40" s="7" t="n">
        <v>83276</v>
      </c>
      <c r="D40" s="7" t="n">
        <v>73812</v>
      </c>
      <c r="E40" s="7" t="n">
        <v>64849</v>
      </c>
      <c r="F40" s="7" t="n">
        <v>57365</v>
      </c>
      <c r="G40" s="7" t="n">
        <v>50779</v>
      </c>
      <c r="H40" s="7" t="n">
        <v>45174</v>
      </c>
      <c r="I40" s="7" t="n">
        <v>40201</v>
      </c>
      <c r="J40" s="7" t="n">
        <v>35867</v>
      </c>
      <c r="K40" s="7" t="n">
        <v>31251</v>
      </c>
    </row>
    <row r="41">
      <c r="A41" s="6" t="inlineStr">
        <is>
          <t>Accumulated deficit</t>
        </is>
      </c>
      <c r="B41" s="7" t="n">
        <v>-14264</v>
      </c>
      <c r="C41" s="7" t="n">
        <v>-19154</v>
      </c>
      <c r="D41" s="7" t="n">
        <v>-214</v>
      </c>
      <c r="E41" s="7" t="n">
        <v>-3068</v>
      </c>
      <c r="F41" s="7" t="n">
        <v>5562</v>
      </c>
      <c r="G41" s="7" t="n">
        <v>14966</v>
      </c>
      <c r="H41" s="7" t="n">
        <v>45898</v>
      </c>
      <c r="I41" s="7" t="n">
        <v>70400</v>
      </c>
      <c r="J41" s="7" t="n">
        <v>98330</v>
      </c>
      <c r="K41" s="7" t="n">
        <v>96364</v>
      </c>
    </row>
    <row r="42">
      <c r="A42" s="6" t="inlineStr">
        <is>
          <t>Accumulated other comprehensive loss</t>
        </is>
      </c>
      <c r="B42" s="7" t="n">
        <v>-5571</v>
      </c>
      <c r="C42" s="7" t="n">
        <v>-7172</v>
      </c>
      <c r="D42" s="7" t="n">
        <v>-11452</v>
      </c>
      <c r="E42" s="7" t="n">
        <v>-11109</v>
      </c>
      <c r="F42" s="7" t="n">
        <v>163</v>
      </c>
      <c r="G42" s="7" t="n">
        <v>-406</v>
      </c>
      <c r="H42" s="7" t="n">
        <v>-584</v>
      </c>
      <c r="I42" s="7" t="n">
        <v>-3454</v>
      </c>
      <c r="J42" s="7" t="n">
        <v>-150</v>
      </c>
      <c r="K42" s="7" t="n">
        <v>634</v>
      </c>
    </row>
    <row r="43">
      <c r="A43" s="6" t="inlineStr">
        <is>
          <t>Total shareholders’ equity</t>
        </is>
      </c>
      <c r="B43" s="7" t="n">
        <v>73733</v>
      </c>
      <c r="C43" s="7" t="n">
        <v>56950</v>
      </c>
      <c r="D43" s="7" t="n">
        <v>62146</v>
      </c>
      <c r="E43" s="7" t="n">
        <v>50672</v>
      </c>
      <c r="F43" s="7" t="n">
        <v>63090</v>
      </c>
      <c r="G43" s="7" t="n">
        <v>65339</v>
      </c>
      <c r="H43" s="7" t="n">
        <v>90488</v>
      </c>
      <c r="I43" s="7" t="n">
        <v>107147</v>
      </c>
      <c r="J43" s="7" t="n">
        <v>134047</v>
      </c>
      <c r="K43" s="7" t="n">
        <v>128249</v>
      </c>
    </row>
    <row r="44">
      <c r="A44" s="6" t="inlineStr">
        <is>
          <t>Total liabilities and shareholders’ equity</t>
        </is>
      </c>
      <c r="B44" s="7" t="n">
        <v>359241</v>
      </c>
      <c r="C44" s="7" t="n">
        <v>364980</v>
      </c>
      <c r="D44" s="7" t="n">
        <v>352583</v>
      </c>
      <c r="E44" s="7" t="n">
        <v>352755</v>
      </c>
      <c r="F44" s="7" t="n">
        <v>351002</v>
      </c>
      <c r="G44" s="7" t="n">
        <v>323888</v>
      </c>
      <c r="H44" s="7" t="n">
        <v>338516</v>
      </c>
      <c r="I44" s="7" t="n">
        <v>365725</v>
      </c>
      <c r="J44" s="7" t="n">
        <v>375319</v>
      </c>
      <c r="K44" s="7" t="n">
        <v>321686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APPLE INC. - CASH FLOWS</t>
        </is>
      </c>
    </row>
    <row r="2">
      <c r="A2" s="2" t="inlineStr">
        <is>
          <t>Scale / Reporting Currency: (In millions)</t>
        </is>
      </c>
    </row>
    <row r="4">
      <c r="A4" s="3" t="inlineStr">
        <is>
          <t>Line Item / Account</t>
        </is>
      </c>
      <c r="B4" s="4" t="inlineStr">
        <is>
          <t>2025</t>
        </is>
      </c>
      <c r="C4" s="4" t="inlineStr">
        <is>
          <t>2024</t>
        </is>
      </c>
      <c r="D4" s="4" t="inlineStr">
        <is>
          <t>2023</t>
        </is>
      </c>
      <c r="E4" s="4" t="inlineStr">
        <is>
          <t>2022</t>
        </is>
      </c>
      <c r="F4" s="4" t="inlineStr">
        <is>
          <t>2021</t>
        </is>
      </c>
      <c r="G4" s="4" t="inlineStr">
        <is>
          <t>2020</t>
        </is>
      </c>
      <c r="H4" s="4" t="inlineStr">
        <is>
          <t>2019</t>
        </is>
      </c>
      <c r="I4" s="4" t="inlineStr">
        <is>
          <t>2018</t>
        </is>
      </c>
      <c r="J4" s="4" t="inlineStr">
        <is>
          <t>2017</t>
        </is>
      </c>
      <c r="K4" s="4" t="inlineStr">
        <is>
          <t>2016</t>
        </is>
      </c>
    </row>
    <row r="5">
      <c r="A5" s="6" t="inlineStr">
        <is>
          <t>Cash, cash equivalents, and restricted cash and cash equivalents, beginning balances</t>
        </is>
      </c>
      <c r="B5" s="7" t="n">
        <v>29943</v>
      </c>
      <c r="C5" s="7" t="n">
        <v>30737</v>
      </c>
      <c r="D5" s="7" t="n">
        <v>24977</v>
      </c>
      <c r="E5" s="7" t="n">
        <v>35929</v>
      </c>
      <c r="F5" s="7" t="n">
        <v>39789</v>
      </c>
      <c r="G5" s="7" t="n">
        <v>50224</v>
      </c>
      <c r="H5" s="7" t="n">
        <v>25913</v>
      </c>
      <c r="I5" s="7" t="n">
        <v>20289</v>
      </c>
      <c r="J5" s="7" t="n">
        <v>20484</v>
      </c>
      <c r="K5" s="7" t="n">
        <v>21120</v>
      </c>
    </row>
    <row r="6">
      <c r="A6" s="5" t="inlineStr">
        <is>
          <t>Operating activities:</t>
        </is>
      </c>
    </row>
    <row r="7">
      <c r="A7" s="6" t="inlineStr">
        <is>
          <t>Net income</t>
        </is>
      </c>
      <c r="B7" s="7" t="n">
        <v>112010</v>
      </c>
      <c r="C7" s="7" t="n">
        <v>93736</v>
      </c>
      <c r="D7" s="7" t="n">
        <v>96995</v>
      </c>
      <c r="E7" s="7" t="n">
        <v>99803</v>
      </c>
      <c r="F7" s="7" t="n">
        <v>94680</v>
      </c>
      <c r="G7" s="7" t="n">
        <v>57411</v>
      </c>
      <c r="H7" s="7" t="n">
        <v>55256</v>
      </c>
      <c r="I7" s="7" t="n">
        <v>59531</v>
      </c>
      <c r="J7" s="7" t="n">
        <v>48351</v>
      </c>
      <c r="K7" s="7" t="n">
        <v>45687</v>
      </c>
    </row>
    <row r="8">
      <c r="A8" s="5" t="inlineStr">
        <is>
          <t>Adjustments to reconcile net income to cash generated by operating activities:</t>
        </is>
      </c>
    </row>
    <row r="9">
      <c r="A9" s="6" t="inlineStr">
        <is>
          <t>Depreciation and amortization</t>
        </is>
      </c>
      <c r="B9" s="7" t="n">
        <v>11698</v>
      </c>
      <c r="C9" s="7" t="n">
        <v>11445</v>
      </c>
      <c r="D9" s="7" t="n">
        <v>11519</v>
      </c>
      <c r="E9" s="7" t="n">
        <v>11104</v>
      </c>
      <c r="F9" s="7" t="n">
        <v>11284</v>
      </c>
      <c r="G9" s="7" t="n">
        <v>11056</v>
      </c>
      <c r="H9" s="7" t="n">
        <v>12547</v>
      </c>
      <c r="I9" s="7" t="n">
        <v>10903</v>
      </c>
      <c r="J9" s="7" t="n">
        <v>10157</v>
      </c>
      <c r="K9" s="7" t="n">
        <v>10505</v>
      </c>
    </row>
    <row r="10">
      <c r="A10" s="6" t="inlineStr">
        <is>
          <t>Share-based compensation expense</t>
        </is>
      </c>
      <c r="B10" s="7" t="n">
        <v>12863</v>
      </c>
      <c r="C10" s="7" t="n">
        <v>11688</v>
      </c>
      <c r="D10" s="7" t="n">
        <v>10833</v>
      </c>
      <c r="E10" s="7" t="n">
        <v>9038</v>
      </c>
      <c r="F10" s="7" t="n">
        <v>7906</v>
      </c>
      <c r="G10" s="7" t="n">
        <v>6829</v>
      </c>
      <c r="H10" s="7" t="n">
        <v>6068</v>
      </c>
      <c r="I10" s="7" t="n">
        <v>5340</v>
      </c>
      <c r="J10" s="7" t="n">
        <v>4840</v>
      </c>
      <c r="K10" s="7" t="n">
        <v>4210</v>
      </c>
    </row>
    <row r="11">
      <c r="A11" s="6" t="inlineStr">
        <is>
          <t>Deferred income tax expense/(benefit)</t>
        </is>
      </c>
      <c r="E11" s="7" t="n">
        <v>895</v>
      </c>
      <c r="F11" s="7" t="n">
        <v>-4774</v>
      </c>
      <c r="G11" s="7" t="n">
        <v>-215</v>
      </c>
      <c r="H11" s="7" t="n">
        <v>-340</v>
      </c>
      <c r="I11" s="7" t="n">
        <v>-32590</v>
      </c>
      <c r="J11" s="7" t="n">
        <v>5966</v>
      </c>
      <c r="K11" s="7" t="n">
        <v>4938</v>
      </c>
    </row>
    <row r="12">
      <c r="A12" s="6" t="inlineStr">
        <is>
          <t>Other</t>
        </is>
      </c>
      <c r="B12" s="7" t="n">
        <v>-89</v>
      </c>
      <c r="C12" s="7" t="n">
        <v>-2266</v>
      </c>
      <c r="D12" s="7" t="n">
        <v>-2227</v>
      </c>
      <c r="E12" s="7" t="n">
        <v>1006</v>
      </c>
      <c r="F12" s="7" t="n">
        <v>-4921</v>
      </c>
      <c r="G12" s="7" t="n">
        <v>-97</v>
      </c>
      <c r="H12" s="7" t="n">
        <v>-652</v>
      </c>
      <c r="I12" s="7" t="n">
        <v>-444</v>
      </c>
      <c r="J12" s="7" t="n">
        <v>-166</v>
      </c>
      <c r="K12" s="7" t="n">
        <v>486</v>
      </c>
    </row>
    <row r="13">
      <c r="A13" s="5" t="inlineStr">
        <is>
          <t>Changes in operating assets and liabilities:</t>
        </is>
      </c>
    </row>
    <row r="14">
      <c r="A14" s="6" t="inlineStr">
        <is>
          <t>Accounts receivable, net</t>
        </is>
      </c>
      <c r="B14" s="7" t="n">
        <v>-6682</v>
      </c>
      <c r="C14" s="7" t="n">
        <v>-3788</v>
      </c>
      <c r="D14" s="7" t="n">
        <v>-1688</v>
      </c>
      <c r="E14" s="7" t="n">
        <v>-1823</v>
      </c>
      <c r="F14" s="7" t="n">
        <v>-10125</v>
      </c>
      <c r="G14" s="7" t="n">
        <v>6917</v>
      </c>
      <c r="H14" s="7" t="n">
        <v>245</v>
      </c>
      <c r="I14" s="7" t="n">
        <v>-5322</v>
      </c>
      <c r="J14" s="7" t="n">
        <v>-2093</v>
      </c>
      <c r="K14" s="7" t="n">
        <v>527</v>
      </c>
    </row>
    <row r="15">
      <c r="A15" s="6" t="inlineStr">
        <is>
          <t>Vendor non-trade receivables</t>
        </is>
      </c>
      <c r="B15" s="7" t="n">
        <v>-347</v>
      </c>
      <c r="C15" s="7" t="n">
        <v>-1356</v>
      </c>
      <c r="D15" s="7" t="n">
        <v>1271</v>
      </c>
      <c r="E15" s="7" t="n">
        <v>-7520</v>
      </c>
      <c r="F15" s="7" t="n">
        <v>-3903</v>
      </c>
      <c r="G15" s="7" t="n">
        <v>1553</v>
      </c>
      <c r="H15" s="7" t="n">
        <v>2931</v>
      </c>
      <c r="I15" s="7" t="n">
        <v>-8010</v>
      </c>
      <c r="J15" s="7" t="n">
        <v>-4254</v>
      </c>
      <c r="K15" s="7" t="n">
        <v>-51</v>
      </c>
    </row>
    <row r="16">
      <c r="A16" s="6" t="inlineStr">
        <is>
          <t>Inventories</t>
        </is>
      </c>
      <c r="B16" s="7" t="n">
        <v>1400</v>
      </c>
      <c r="C16" s="7" t="n">
        <v>-1046</v>
      </c>
      <c r="D16" s="7" t="n">
        <v>-1618</v>
      </c>
      <c r="E16" s="7" t="n">
        <v>1484</v>
      </c>
      <c r="F16" s="7" t="n">
        <v>-2642</v>
      </c>
      <c r="G16" s="7" t="n">
        <v>-127</v>
      </c>
      <c r="H16" s="7" t="n">
        <v>-289</v>
      </c>
      <c r="I16" s="7" t="n">
        <v>828</v>
      </c>
      <c r="J16" s="7" t="n">
        <v>-2723</v>
      </c>
      <c r="K16" s="7" t="n">
        <v>217</v>
      </c>
    </row>
    <row r="17">
      <c r="A17" s="6" t="inlineStr">
        <is>
          <t>Other current and non-current assets</t>
        </is>
      </c>
      <c r="B17" s="7" t="n">
        <v>-9197</v>
      </c>
      <c r="C17" s="7" t="n">
        <v>-11731</v>
      </c>
      <c r="D17" s="7" t="n">
        <v>-5684</v>
      </c>
      <c r="E17" s="7" t="n">
        <v>-6499</v>
      </c>
      <c r="F17" s="7" t="n">
        <v>-8042</v>
      </c>
      <c r="G17" s="7" t="n">
        <v>-9588</v>
      </c>
      <c r="H17" s="7" t="n">
        <v>873</v>
      </c>
      <c r="I17" s="7" t="n">
        <v>-423</v>
      </c>
      <c r="J17" s="7" t="n">
        <v>-5318</v>
      </c>
      <c r="K17" s="7" t="n">
        <v>1055</v>
      </c>
    </row>
    <row r="18">
      <c r="A18" s="6" t="inlineStr">
        <is>
          <t>Accounts payable</t>
        </is>
      </c>
      <c r="B18" s="7" t="n">
        <v>902</v>
      </c>
      <c r="C18" s="7" t="n">
        <v>6020</v>
      </c>
      <c r="D18" s="7" t="n">
        <v>-1889</v>
      </c>
      <c r="E18" s="7" t="n">
        <v>9448</v>
      </c>
      <c r="F18" s="7" t="n">
        <v>12326</v>
      </c>
      <c r="G18" s="7" t="n">
        <v>-4062</v>
      </c>
      <c r="H18" s="7" t="n">
        <v>-1923</v>
      </c>
      <c r="I18" s="7" t="n">
        <v>9175</v>
      </c>
      <c r="J18" s="7" t="n">
        <v>8966</v>
      </c>
      <c r="K18" s="7" t="n">
        <v>2117</v>
      </c>
    </row>
    <row r="19">
      <c r="A19" s="6" t="inlineStr">
        <is>
          <t>Deferred revenue</t>
        </is>
      </c>
      <c r="E19" s="7" t="n">
        <v>478</v>
      </c>
      <c r="F19" s="7" t="n">
        <v>1676</v>
      </c>
      <c r="G19" s="7" t="n">
        <v>2081</v>
      </c>
      <c r="H19" s="7" t="n">
        <v>-625</v>
      </c>
      <c r="I19" s="7" t="n">
        <v>-3</v>
      </c>
      <c r="J19" s="7" t="n">
        <v>-593</v>
      </c>
      <c r="K19" s="7" t="n">
        <v>-1554</v>
      </c>
    </row>
    <row r="20">
      <c r="A20" s="6" t="inlineStr">
        <is>
          <t>Other current and non-current liabilities</t>
        </is>
      </c>
      <c r="B20" s="7" t="n">
        <v>-11076</v>
      </c>
      <c r="C20" s="7" t="n">
        <v>15552</v>
      </c>
      <c r="D20" s="7" t="n">
        <v>3031</v>
      </c>
      <c r="E20" s="7" t="n">
        <v>6110</v>
      </c>
      <c r="F20" s="7" t="n">
        <v>7475</v>
      </c>
      <c r="G20" s="7" t="n">
        <v>8916</v>
      </c>
      <c r="H20" s="7" t="n">
        <v>-4700</v>
      </c>
      <c r="I20" s="7" t="n">
        <v>38449</v>
      </c>
      <c r="J20" s="7" t="n">
        <v>1092</v>
      </c>
      <c r="K20" s="7" t="n">
        <v>-1906</v>
      </c>
    </row>
    <row r="21">
      <c r="A21" s="6" t="inlineStr">
        <is>
          <t>Cash generated by operating activities</t>
        </is>
      </c>
      <c r="B21" s="7" t="n">
        <v>111482</v>
      </c>
      <c r="C21" s="7" t="n">
        <v>118254</v>
      </c>
      <c r="D21" s="7" t="n">
        <v>110543</v>
      </c>
      <c r="E21" s="7" t="n">
        <v>122151</v>
      </c>
      <c r="F21" s="7" t="n">
        <v>104038</v>
      </c>
      <c r="G21" s="7" t="n">
        <v>80674</v>
      </c>
      <c r="H21" s="7" t="n">
        <v>69391</v>
      </c>
      <c r="I21" s="7" t="n">
        <v>77434</v>
      </c>
      <c r="J21" s="7" t="n">
        <v>64225</v>
      </c>
      <c r="K21" s="7" t="n">
        <v>66231</v>
      </c>
    </row>
    <row r="22">
      <c r="A22" s="5" t="inlineStr">
        <is>
          <t>Investing activities:</t>
        </is>
      </c>
    </row>
    <row r="23">
      <c r="A23" s="6" t="inlineStr">
        <is>
          <t>Purchases of marketable securities</t>
        </is>
      </c>
      <c r="B23" s="7" t="n">
        <v>-24407</v>
      </c>
      <c r="C23" s="7" t="n">
        <v>-48656</v>
      </c>
      <c r="D23" s="7" t="n">
        <v>-29513</v>
      </c>
      <c r="E23" s="7" t="n">
        <v>-76923</v>
      </c>
      <c r="F23" s="7" t="n">
        <v>-109558</v>
      </c>
      <c r="G23" s="7" t="n">
        <v>-114938</v>
      </c>
      <c r="H23" s="7" t="n">
        <v>-39630</v>
      </c>
      <c r="I23" s="7" t="n">
        <v>-71356</v>
      </c>
      <c r="J23" s="7" t="n">
        <v>-159486</v>
      </c>
      <c r="K23" s="7" t="n">
        <v>-142428</v>
      </c>
    </row>
    <row r="24">
      <c r="A24" s="6" t="inlineStr">
        <is>
          <t>Proceeds from maturities of marketable securities</t>
        </is>
      </c>
      <c r="B24" s="7" t="n">
        <v>40907</v>
      </c>
      <c r="C24" s="7" t="n">
        <v>51211</v>
      </c>
      <c r="D24" s="7" t="n">
        <v>39686</v>
      </c>
      <c r="E24" s="7" t="n">
        <v>29917</v>
      </c>
      <c r="F24" s="7" t="n">
        <v>59023</v>
      </c>
      <c r="G24" s="7" t="n">
        <v>69918</v>
      </c>
      <c r="H24" s="7" t="n">
        <v>40102</v>
      </c>
      <c r="I24" s="7" t="n">
        <v>55881</v>
      </c>
      <c r="J24" s="7" t="n">
        <v>31775</v>
      </c>
      <c r="K24" s="7" t="n">
        <v>21258</v>
      </c>
    </row>
    <row r="25">
      <c r="A25" s="6" t="inlineStr">
        <is>
          <t>Proceeds from sales of marketable securities</t>
        </is>
      </c>
      <c r="B25" s="7" t="n">
        <v>12890</v>
      </c>
      <c r="C25" s="7" t="n">
        <v>11135</v>
      </c>
      <c r="D25" s="7" t="n">
        <v>5828</v>
      </c>
      <c r="E25" s="7" t="n">
        <v>37446</v>
      </c>
      <c r="F25" s="7" t="n">
        <v>47460</v>
      </c>
      <c r="G25" s="7" t="n">
        <v>50473</v>
      </c>
      <c r="H25" s="7" t="n">
        <v>56988</v>
      </c>
      <c r="I25" s="7" t="n">
        <v>47838</v>
      </c>
      <c r="J25" s="7" t="n">
        <v>94564</v>
      </c>
      <c r="K25" s="7" t="n">
        <v>90536</v>
      </c>
    </row>
    <row r="26">
      <c r="A26" s="6" t="inlineStr">
        <is>
          <t>Payments for acquisition of property, plant and equipment</t>
        </is>
      </c>
      <c r="B26" s="7" t="n">
        <v>-12715</v>
      </c>
      <c r="C26" s="7" t="n">
        <v>-9447</v>
      </c>
      <c r="D26" s="7" t="n">
        <v>-10959</v>
      </c>
      <c r="E26" s="7" t="n">
        <v>-10708</v>
      </c>
      <c r="F26" s="7" t="n">
        <v>-11085</v>
      </c>
      <c r="G26" s="7" t="n">
        <v>-7309</v>
      </c>
      <c r="H26" s="7" t="n">
        <v>-10495</v>
      </c>
      <c r="I26" s="7" t="n">
        <v>-13313</v>
      </c>
      <c r="J26" s="7" t="n">
        <v>-12451</v>
      </c>
      <c r="K26" s="7" t="n">
        <v>-12734</v>
      </c>
    </row>
    <row r="27">
      <c r="A27" s="6" t="inlineStr">
        <is>
          <t>Payments for acquisition of intangible assets</t>
        </is>
      </c>
      <c r="J27" s="7" t="n">
        <v>-344</v>
      </c>
      <c r="K27" s="7" t="n">
        <v>-814</v>
      </c>
    </row>
    <row r="28">
      <c r="A28" s="6" t="inlineStr">
        <is>
          <t>Payments for strategic investments, net</t>
        </is>
      </c>
      <c r="J28" s="7" t="n">
        <v>-395</v>
      </c>
      <c r="K28" s="7" t="n">
        <v>-1388</v>
      </c>
    </row>
    <row r="29">
      <c r="A29" s="6" t="inlineStr">
        <is>
          <t>Payments made in connection with business acquisitions, net</t>
        </is>
      </c>
      <c r="E29" s="7" t="n">
        <v>-306</v>
      </c>
      <c r="F29" s="7" t="n">
        <v>-33</v>
      </c>
      <c r="G29" s="7" t="n">
        <v>-1524</v>
      </c>
      <c r="H29" s="7" t="n">
        <v>-624</v>
      </c>
      <c r="I29" s="7" t="n">
        <v>-721</v>
      </c>
      <c r="J29" s="7" t="n">
        <v>-329</v>
      </c>
      <c r="K29" s="7" t="n">
        <v>-297</v>
      </c>
    </row>
    <row r="30">
      <c r="A30" s="6" t="inlineStr">
        <is>
          <t>Purchases of non-marketable securities</t>
        </is>
      </c>
      <c r="F30" s="7" t="n">
        <v>-131</v>
      </c>
      <c r="G30" s="7" t="n">
        <v>-210</v>
      </c>
      <c r="H30" s="7" t="n">
        <v>-1001</v>
      </c>
      <c r="I30" s="7" t="n">
        <v>-1871</v>
      </c>
      <c r="J30" s="7" t="n">
        <v>-521</v>
      </c>
      <c r="K30" s="7" t="n">
        <v>-1388</v>
      </c>
    </row>
    <row r="31">
      <c r="A31" s="6" t="inlineStr">
        <is>
          <t>Proceeds from non-marketable securities</t>
        </is>
      </c>
      <c r="F31" s="7" t="n">
        <v>387</v>
      </c>
      <c r="G31" s="7" t="n">
        <v>92</v>
      </c>
      <c r="H31" s="7" t="n">
        <v>1634</v>
      </c>
      <c r="I31" s="7" t="n">
        <v>353</v>
      </c>
      <c r="J31" s="7" t="n">
        <v>126</v>
      </c>
      <c r="K31" s="7" t="n">
        <v>0</v>
      </c>
    </row>
    <row r="32">
      <c r="A32" s="6" t="inlineStr">
        <is>
          <t>Other</t>
        </is>
      </c>
      <c r="B32" s="7" t="n">
        <v>-1480</v>
      </c>
      <c r="C32" s="7" t="n">
        <v>-1308</v>
      </c>
      <c r="D32" s="7" t="n">
        <v>-1337</v>
      </c>
      <c r="E32" s="7" t="n">
        <v>-2086</v>
      </c>
      <c r="F32" s="7" t="n">
        <v>-385</v>
      </c>
      <c r="G32" s="7" t="n">
        <v>-909</v>
      </c>
      <c r="H32" s="7" t="n">
        <v>-1078</v>
      </c>
      <c r="I32" s="7" t="n">
        <v>-745</v>
      </c>
      <c r="J32" s="7" t="n">
        <v>-124</v>
      </c>
      <c r="K32" s="7" t="n">
        <v>-924</v>
      </c>
    </row>
    <row r="33">
      <c r="A33" s="6" t="inlineStr">
        <is>
          <t>Cash generated by investing activities</t>
        </is>
      </c>
      <c r="B33" s="7" t="n">
        <v>15195</v>
      </c>
      <c r="C33" s="7" t="n">
        <v>2935</v>
      </c>
      <c r="D33" s="7" t="n">
        <v>3705</v>
      </c>
      <c r="E33" s="7" t="n">
        <v>-22354</v>
      </c>
      <c r="F33" s="7" t="n">
        <v>-14545</v>
      </c>
      <c r="G33" s="7" t="n">
        <v>-4289</v>
      </c>
      <c r="H33" s="7" t="n">
        <v>45896</v>
      </c>
      <c r="I33" s="7" t="n">
        <v>16066</v>
      </c>
      <c r="J33" s="7" t="n">
        <v>-46446</v>
      </c>
      <c r="K33" s="7" t="n">
        <v>-45977</v>
      </c>
    </row>
    <row r="34">
      <c r="A34" s="5" t="inlineStr">
        <is>
          <t>Financing activities:</t>
        </is>
      </c>
    </row>
    <row r="35">
      <c r="A35" s="6" t="inlineStr">
        <is>
          <t>Proceeds from issuance of common stock</t>
        </is>
      </c>
      <c r="F35" s="7" t="n">
        <v>1105</v>
      </c>
      <c r="G35" s="7" t="n">
        <v>880</v>
      </c>
      <c r="H35" s="7" t="n">
        <v>781</v>
      </c>
      <c r="I35" s="7" t="n">
        <v>669</v>
      </c>
      <c r="J35" s="7" t="n">
        <v>555</v>
      </c>
      <c r="K35" s="7" t="n">
        <v>495</v>
      </c>
    </row>
    <row r="36">
      <c r="A36" s="6" t="inlineStr">
        <is>
          <t>Excess tax benefits from equity awards</t>
        </is>
      </c>
      <c r="J36" s="7" t="n">
        <v>627</v>
      </c>
      <c r="K36" s="7" t="n">
        <v>407</v>
      </c>
    </row>
    <row r="37">
      <c r="A37" s="6" t="inlineStr">
        <is>
          <t>Payments for taxes related to net share settlement of equity awards</t>
        </is>
      </c>
      <c r="B37" s="7" t="n">
        <v>-5960</v>
      </c>
      <c r="C37" s="7" t="n">
        <v>-5441</v>
      </c>
      <c r="D37" s="7" t="n">
        <v>-5431</v>
      </c>
      <c r="E37" s="7" t="n">
        <v>-6223</v>
      </c>
      <c r="F37" s="7" t="n">
        <v>-6556</v>
      </c>
      <c r="G37" s="7" t="n">
        <v>-3634</v>
      </c>
      <c r="H37" s="7" t="n">
        <v>-2817</v>
      </c>
      <c r="I37" s="7" t="n">
        <v>-2527</v>
      </c>
      <c r="J37" s="7" t="n">
        <v>-1874</v>
      </c>
      <c r="K37" s="7" t="n">
        <v>-1570</v>
      </c>
    </row>
    <row r="38">
      <c r="A38" s="6" t="inlineStr">
        <is>
          <t>Payments for dividends and dividend equivalents</t>
        </is>
      </c>
      <c r="B38" s="7" t="n">
        <v>-15421</v>
      </c>
      <c r="C38" s="7" t="n">
        <v>-15234</v>
      </c>
      <c r="D38" s="7" t="n">
        <v>-15025</v>
      </c>
      <c r="E38" s="7" t="n">
        <v>-14841</v>
      </c>
      <c r="F38" s="7" t="n">
        <v>-14467</v>
      </c>
      <c r="G38" s="7" t="n">
        <v>-14081</v>
      </c>
      <c r="H38" s="7" t="n">
        <v>-14119</v>
      </c>
      <c r="I38" s="7" t="n">
        <v>-13712</v>
      </c>
      <c r="J38" s="7" t="n">
        <v>-12769</v>
      </c>
      <c r="K38" s="7" t="n">
        <v>-12150</v>
      </c>
    </row>
    <row r="39">
      <c r="A39" s="6" t="inlineStr">
        <is>
          <t>Repurchases of common stock</t>
        </is>
      </c>
      <c r="B39" s="7" t="n">
        <v>-90711</v>
      </c>
      <c r="C39" s="7" t="n">
        <v>-94949</v>
      </c>
      <c r="D39" s="7" t="n">
        <v>-77550</v>
      </c>
      <c r="E39" s="7" t="n">
        <v>-89402</v>
      </c>
      <c r="F39" s="7" t="n">
        <v>-85971</v>
      </c>
      <c r="G39" s="7" t="n">
        <v>-72358</v>
      </c>
      <c r="H39" s="7" t="n">
        <v>-66897</v>
      </c>
      <c r="I39" s="7" t="n">
        <v>-72738</v>
      </c>
      <c r="J39" s="7" t="n">
        <v>-32900</v>
      </c>
      <c r="K39" s="7" t="n">
        <v>-29722</v>
      </c>
    </row>
    <row r="40">
      <c r="A40" s="6" t="inlineStr">
        <is>
          <t>Proceeds from issuance of term debt, net</t>
        </is>
      </c>
      <c r="B40" s="7" t="n">
        <v>4481</v>
      </c>
      <c r="C40" s="7" t="n">
        <v>0</v>
      </c>
      <c r="D40" s="7" t="n">
        <v>5228</v>
      </c>
      <c r="E40" s="7" t="n">
        <v>5465</v>
      </c>
      <c r="F40" s="7" t="n">
        <v>20393</v>
      </c>
      <c r="G40" s="7" t="n">
        <v>16091</v>
      </c>
      <c r="H40" s="7" t="n">
        <v>6963</v>
      </c>
      <c r="I40" s="7" t="n">
        <v>6969</v>
      </c>
      <c r="J40" s="7" t="n">
        <v>28662</v>
      </c>
      <c r="K40" s="7" t="n">
        <v>24954</v>
      </c>
    </row>
    <row r="41">
      <c r="A41" s="6" t="inlineStr">
        <is>
          <t>Repayments of term debt</t>
        </is>
      </c>
      <c r="B41" s="7" t="n">
        <v>-10932</v>
      </c>
      <c r="C41" s="7" t="n">
        <v>-9958</v>
      </c>
      <c r="D41" s="7" t="n">
        <v>-11151</v>
      </c>
      <c r="E41" s="7" t="n">
        <v>-9543</v>
      </c>
      <c r="F41" s="7" t="n">
        <v>-8750</v>
      </c>
      <c r="G41" s="7" t="n">
        <v>-12629</v>
      </c>
      <c r="H41" s="7" t="n">
        <v>-8805</v>
      </c>
      <c r="I41" s="7" t="n">
        <v>-6500</v>
      </c>
      <c r="J41" s="7" t="n">
        <v>-3500</v>
      </c>
      <c r="K41" s="7" t="n">
        <v>-2500</v>
      </c>
    </row>
    <row r="42">
      <c r="A42" s="6" t="inlineStr">
        <is>
          <t>Proceeds from/(Repayments of) commercial paper, net</t>
        </is>
      </c>
      <c r="B42" s="7" t="n">
        <v>-2032</v>
      </c>
      <c r="C42" s="7" t="n">
        <v>3960</v>
      </c>
      <c r="D42" s="7" t="n">
        <v>-3978</v>
      </c>
      <c r="E42" s="7" t="n">
        <v>3955</v>
      </c>
      <c r="F42" s="7" t="n">
        <v>1022</v>
      </c>
      <c r="G42" s="7" t="n">
        <v>-963</v>
      </c>
      <c r="H42" s="7" t="n">
        <v>-5977</v>
      </c>
      <c r="I42" s="7" t="n">
        <v>-37</v>
      </c>
      <c r="J42" s="7" t="n">
        <v>3852</v>
      </c>
      <c r="K42" s="7" t="n">
        <v>-397</v>
      </c>
    </row>
    <row r="43">
      <c r="A43" s="6" t="inlineStr">
        <is>
          <t>Other</t>
        </is>
      </c>
      <c r="B43" s="7" t="n">
        <v>-111</v>
      </c>
      <c r="C43" s="7" t="n">
        <v>-361</v>
      </c>
      <c r="D43" s="7" t="n">
        <v>-581</v>
      </c>
      <c r="E43" s="7" t="n">
        <v>-160</v>
      </c>
      <c r="F43" s="7" t="n">
        <v>976</v>
      </c>
      <c r="G43" s="7" t="n">
        <v>754</v>
      </c>
      <c r="H43" s="7" t="n">
        <v>-105</v>
      </c>
      <c r="I43" s="7" t="n">
        <v>0</v>
      </c>
      <c r="J43" s="7" t="n">
        <v>0</v>
      </c>
    </row>
    <row r="44">
      <c r="A44" s="6" t="inlineStr">
        <is>
          <t>Cash used in financing activities</t>
        </is>
      </c>
      <c r="B44" s="7" t="n">
        <v>-120686</v>
      </c>
      <c r="C44" s="7" t="n">
        <v>-121983</v>
      </c>
      <c r="D44" s="7" t="n">
        <v>-108488</v>
      </c>
      <c r="E44" s="7" t="n">
        <v>-110749</v>
      </c>
      <c r="F44" s="7" t="n">
        <v>-93353</v>
      </c>
      <c r="G44" s="7" t="n">
        <v>-86820</v>
      </c>
      <c r="H44" s="7" t="n">
        <v>-90976</v>
      </c>
      <c r="I44" s="7" t="n">
        <v>-87876</v>
      </c>
      <c r="J44" s="7" t="n">
        <v>-17974</v>
      </c>
      <c r="K44" s="7" t="n">
        <v>-20890</v>
      </c>
    </row>
    <row r="45">
      <c r="A45" s="6" t="inlineStr">
        <is>
          <t>Increase/(Decrease) in cash, cash equivalents, and restricted cash and cash equivalents</t>
        </is>
      </c>
      <c r="B45" s="7" t="n">
        <v>5991</v>
      </c>
      <c r="C45" s="7" t="n">
        <v>-794</v>
      </c>
      <c r="D45" s="7" t="n">
        <v>5760</v>
      </c>
      <c r="E45" s="7" t="n">
        <v>-10952</v>
      </c>
      <c r="F45" s="7" t="n">
        <v>-3860</v>
      </c>
      <c r="G45" s="7" t="n">
        <v>-10435</v>
      </c>
      <c r="H45" s="7" t="n">
        <v>24311</v>
      </c>
      <c r="I45" s="7" t="n">
        <v>5624</v>
      </c>
      <c r="J45" s="7" t="n">
        <v>-195</v>
      </c>
      <c r="K45" s="7" t="n">
        <v>-636</v>
      </c>
    </row>
    <row r="46">
      <c r="A46" s="6" t="inlineStr">
        <is>
          <t>Cash, cash equivalents, and restricted cash and cash equivalents, ending balances</t>
        </is>
      </c>
      <c r="B46" s="7" t="n">
        <v>35934</v>
      </c>
      <c r="C46" s="7" t="n">
        <v>29943</v>
      </c>
      <c r="D46" s="7" t="n">
        <v>30737</v>
      </c>
      <c r="E46" s="7" t="n">
        <v>24977</v>
      </c>
      <c r="F46" s="7" t="n">
        <v>35929</v>
      </c>
      <c r="G46" s="7" t="n">
        <v>39789</v>
      </c>
      <c r="H46" s="7" t="n">
        <v>50224</v>
      </c>
      <c r="I46" s="7" t="n">
        <v>25913</v>
      </c>
      <c r="J46" s="7" t="n">
        <v>20289</v>
      </c>
      <c r="K46" s="7" t="n">
        <v>20484</v>
      </c>
    </row>
    <row r="47">
      <c r="A47" s="5" t="inlineStr">
        <is>
          <t>Supplemental cash flow disclosure:</t>
        </is>
      </c>
    </row>
    <row r="48">
      <c r="A48" s="6" t="inlineStr">
        <is>
          <t>Cash paid for income taxes, net</t>
        </is>
      </c>
      <c r="B48" s="7" t="n">
        <v>43369</v>
      </c>
      <c r="C48" s="7" t="n">
        <v>26102</v>
      </c>
      <c r="D48" s="7" t="n">
        <v>18679</v>
      </c>
      <c r="E48" s="7" t="n">
        <v>19573</v>
      </c>
      <c r="F48" s="7" t="n">
        <v>25385</v>
      </c>
      <c r="G48" s="7" t="n">
        <v>9501</v>
      </c>
      <c r="H48" s="7" t="n">
        <v>15263</v>
      </c>
      <c r="I48" s="7" t="n">
        <v>10417</v>
      </c>
      <c r="J48" s="7" t="n">
        <v>11591</v>
      </c>
      <c r="K48" s="7" t="n">
        <v>10444</v>
      </c>
    </row>
    <row r="49">
      <c r="A49" s="6" t="inlineStr">
        <is>
          <t>Cash paid for interest</t>
        </is>
      </c>
      <c r="D49" s="7" t="n">
        <v>3803</v>
      </c>
      <c r="E49" s="7" t="n">
        <v>2865</v>
      </c>
      <c r="F49" s="7" t="n">
        <v>2687</v>
      </c>
      <c r="G49" s="7" t="n">
        <v>3002</v>
      </c>
      <c r="H49" s="7" t="n">
        <v>3423</v>
      </c>
      <c r="I49" s="7" t="n">
        <v>3022</v>
      </c>
      <c r="J49" s="7" t="n">
        <v>2092</v>
      </c>
      <c r="K49" s="7" t="n">
        <v>1316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7" customWidth="1" min="14" max="14"/>
    <col width="15" customWidth="1" min="15" max="15"/>
    <col width="18" customWidth="1" min="16" max="16"/>
    <col width="16" customWidth="1" min="17" max="17"/>
    <col width="18" customWidth="1" min="18" max="18"/>
    <col width="16" customWidth="1" min="19" max="19"/>
  </cols>
  <sheetData>
    <row r="1">
      <c r="A1" s="1" t="inlineStr">
        <is>
          <t>APPLE INC. - LOUGHRAN-MCDONALD FINANCIAL SENTIMENT ANALYSIS</t>
        </is>
      </c>
    </row>
    <row r="2">
      <c r="A2" s="2" t="inlineStr">
        <is>
          <t>Dictionary: Loughran-McDonald_MasterDictionary_1993-2025.csv | Source: Item 7 MD&amp;A Cleaned Text</t>
        </is>
      </c>
    </row>
    <row r="4">
      <c r="A4" s="9" t="inlineStr">
        <is>
          <t>Fiscal Year</t>
        </is>
      </c>
      <c r="B4" s="4" t="inlineStr">
        <is>
          <t>Total Words</t>
        </is>
      </c>
      <c r="C4" s="4" t="inlineStr">
        <is>
          <t>Positive</t>
        </is>
      </c>
      <c r="D4" s="4" t="inlineStr">
        <is>
          <t>Negative</t>
        </is>
      </c>
      <c r="E4" s="4" t="inlineStr">
        <is>
          <t>Uncertainty</t>
        </is>
      </c>
      <c r="F4" s="4" t="inlineStr">
        <is>
          <t>Litigious</t>
        </is>
      </c>
      <c r="G4" s="4" t="inlineStr">
        <is>
          <t>Strong Modal</t>
        </is>
      </c>
      <c r="H4" s="4" t="inlineStr">
        <is>
          <t>Weak Modal</t>
        </is>
      </c>
      <c r="I4" s="4" t="inlineStr">
        <is>
          <t>Constraining</t>
        </is>
      </c>
      <c r="J4" s="4" t="inlineStr">
        <is>
          <t>Complexity</t>
        </is>
      </c>
      <c r="K4" s="4" t="inlineStr">
        <is>
          <t>P/N Ratio</t>
        </is>
      </c>
      <c r="L4" s="4" t="inlineStr">
        <is>
          <t>Positive %</t>
        </is>
      </c>
      <c r="M4" s="4" t="inlineStr">
        <is>
          <t>Negative %</t>
        </is>
      </c>
      <c r="N4" s="4" t="inlineStr">
        <is>
          <t>Uncertainty %</t>
        </is>
      </c>
      <c r="O4" s="4" t="inlineStr">
        <is>
          <t>Litigious %</t>
        </is>
      </c>
      <c r="P4" s="4" t="inlineStr">
        <is>
          <t>Strong Modal %</t>
        </is>
      </c>
      <c r="Q4" s="4" t="inlineStr">
        <is>
          <t>Weak Modal %</t>
        </is>
      </c>
      <c r="R4" s="4" t="inlineStr">
        <is>
          <t>Constraining %</t>
        </is>
      </c>
      <c r="S4" s="4" t="inlineStr">
        <is>
          <t>Complexity %</t>
        </is>
      </c>
    </row>
    <row r="5">
      <c r="A5" s="10" t="inlineStr">
        <is>
          <t>2025</t>
        </is>
      </c>
      <c r="B5" s="11" t="n">
        <v>2396</v>
      </c>
      <c r="C5" s="11" t="n">
        <v>17</v>
      </c>
      <c r="D5" s="11" t="n">
        <v>22</v>
      </c>
      <c r="E5" s="11" t="n">
        <v>30</v>
      </c>
      <c r="F5" s="11" t="n">
        <v>14</v>
      </c>
      <c r="G5" s="11" t="n">
        <v>12</v>
      </c>
      <c r="H5" s="11" t="n">
        <v>12</v>
      </c>
      <c r="I5" s="11" t="n">
        <v>30</v>
      </c>
      <c r="J5" s="11" t="n">
        <v>9</v>
      </c>
      <c r="K5" s="12" t="n">
        <v>0.773</v>
      </c>
      <c r="L5" s="13" t="n">
        <v>0.007095158597662772</v>
      </c>
      <c r="M5" s="13" t="n">
        <v>0.009181969949916527</v>
      </c>
      <c r="N5" s="13" t="n">
        <v>0.01252086811352254</v>
      </c>
      <c r="O5" s="13" t="n">
        <v>0.005843071786310518</v>
      </c>
      <c r="P5" s="13" t="n">
        <v>0.005008347245409015</v>
      </c>
      <c r="Q5" s="13" t="n">
        <v>0.005008347245409015</v>
      </c>
      <c r="R5" s="13" t="n">
        <v>0.01252086811352254</v>
      </c>
      <c r="S5" s="13" t="n">
        <v>0.003756260434056761</v>
      </c>
    </row>
    <row r="6">
      <c r="A6" s="10" t="inlineStr">
        <is>
          <t>2024</t>
        </is>
      </c>
      <c r="B6" s="11" t="n">
        <v>2033</v>
      </c>
      <c r="C6" s="11" t="n">
        <v>13</v>
      </c>
      <c r="D6" s="11" t="n">
        <v>19</v>
      </c>
      <c r="E6" s="11" t="n">
        <v>22</v>
      </c>
      <c r="F6" s="11" t="n">
        <v>13</v>
      </c>
      <c r="G6" s="11" t="n">
        <v>9</v>
      </c>
      <c r="H6" s="11" t="n">
        <v>8</v>
      </c>
      <c r="I6" s="11" t="n">
        <v>27</v>
      </c>
      <c r="J6" s="11" t="n">
        <v>6</v>
      </c>
      <c r="K6" s="12" t="n">
        <v>0.6840000000000001</v>
      </c>
      <c r="L6" s="13" t="n">
        <v>0.006394490900147565</v>
      </c>
      <c r="M6" s="13" t="n">
        <v>0.009345794392523364</v>
      </c>
      <c r="N6" s="13" t="n">
        <v>0.01082144613871126</v>
      </c>
      <c r="O6" s="13" t="n">
        <v>0.006394490900147565</v>
      </c>
      <c r="P6" s="13" t="n">
        <v>0.004426955238563699</v>
      </c>
      <c r="Q6" s="13" t="n">
        <v>0.003935071323167732</v>
      </c>
      <c r="R6" s="13" t="n">
        <v>0.0132808657156911</v>
      </c>
      <c r="S6" s="13" t="n">
        <v>0.002951303492375799</v>
      </c>
    </row>
    <row r="7">
      <c r="A7" s="10" t="inlineStr">
        <is>
          <t>2023</t>
        </is>
      </c>
      <c r="B7" s="11" t="n">
        <v>2083</v>
      </c>
      <c r="C7" s="11" t="n">
        <v>11</v>
      </c>
      <c r="D7" s="11" t="n">
        <v>18</v>
      </c>
      <c r="E7" s="11" t="n">
        <v>23</v>
      </c>
      <c r="F7" s="11" t="n">
        <v>13</v>
      </c>
      <c r="G7" s="11" t="n">
        <v>3</v>
      </c>
      <c r="H7" s="11" t="n">
        <v>8</v>
      </c>
      <c r="I7" s="11" t="n">
        <v>20</v>
      </c>
      <c r="J7" s="11" t="n">
        <v>6</v>
      </c>
      <c r="K7" s="12" t="n">
        <v>0.611</v>
      </c>
      <c r="L7" s="13" t="n">
        <v>0.00528084493518963</v>
      </c>
      <c r="M7" s="13" t="n">
        <v>0.008641382621219395</v>
      </c>
      <c r="N7" s="13" t="n">
        <v>0.01104176668266923</v>
      </c>
      <c r="O7" s="13" t="n">
        <v>0.006240998559769563</v>
      </c>
      <c r="P7" s="13" t="n">
        <v>0.001440230436869899</v>
      </c>
      <c r="Q7" s="13" t="n">
        <v>0.003840614498319731</v>
      </c>
      <c r="R7" s="13" t="n">
        <v>0.009601536245799328</v>
      </c>
      <c r="S7" s="13" t="n">
        <v>0.002880460873739798</v>
      </c>
    </row>
    <row r="8">
      <c r="A8" s="10" t="inlineStr">
        <is>
          <t>2022</t>
        </is>
      </c>
      <c r="B8" s="11" t="n">
        <v>2362</v>
      </c>
      <c r="C8" s="11" t="n">
        <v>20</v>
      </c>
      <c r="D8" s="11" t="n">
        <v>28</v>
      </c>
      <c r="E8" s="11" t="n">
        <v>25</v>
      </c>
      <c r="F8" s="11" t="n">
        <v>13</v>
      </c>
      <c r="G8" s="11" t="n">
        <v>3</v>
      </c>
      <c r="H8" s="11" t="n">
        <v>8</v>
      </c>
      <c r="I8" s="11" t="n">
        <v>21</v>
      </c>
      <c r="J8" s="11" t="n">
        <v>12</v>
      </c>
      <c r="K8" s="12" t="n">
        <v>0.714</v>
      </c>
      <c r="L8" s="13" t="n">
        <v>0.00846740050804403</v>
      </c>
      <c r="M8" s="13" t="n">
        <v>0.01185436071126164</v>
      </c>
      <c r="N8" s="13" t="n">
        <v>0.01058425063505504</v>
      </c>
      <c r="O8" s="13" t="n">
        <v>0.00550381033022862</v>
      </c>
      <c r="P8" s="13" t="n">
        <v>0.001270110076206604</v>
      </c>
      <c r="Q8" s="13" t="n">
        <v>0.003386960203217612</v>
      </c>
      <c r="R8" s="13" t="n">
        <v>0.008890770533446233</v>
      </c>
      <c r="S8" s="13" t="n">
        <v>0.005080440304826418</v>
      </c>
    </row>
    <row r="9">
      <c r="A9" s="10" t="inlineStr">
        <is>
          <t>2021</t>
        </is>
      </c>
      <c r="B9" s="11" t="n">
        <v>2545</v>
      </c>
      <c r="C9" s="11" t="n">
        <v>25</v>
      </c>
      <c r="D9" s="11" t="n">
        <v>18</v>
      </c>
      <c r="E9" s="11" t="n">
        <v>31</v>
      </c>
      <c r="F9" s="11" t="n">
        <v>14</v>
      </c>
      <c r="G9" s="11" t="n">
        <v>5</v>
      </c>
      <c r="H9" s="11" t="n">
        <v>10</v>
      </c>
      <c r="I9" s="11" t="n">
        <v>24</v>
      </c>
      <c r="J9" s="11" t="n">
        <v>18</v>
      </c>
      <c r="K9" s="12" t="n">
        <v>1.389</v>
      </c>
      <c r="L9" s="13" t="n">
        <v>0.009823182711198428</v>
      </c>
      <c r="M9" s="13" t="n">
        <v>0.007072691552062868</v>
      </c>
      <c r="N9" s="13" t="n">
        <v>0.01218074656188605</v>
      </c>
      <c r="O9" s="13" t="n">
        <v>0.00550098231827112</v>
      </c>
      <c r="P9" s="13" t="n">
        <v>0.001964636542239686</v>
      </c>
      <c r="Q9" s="13" t="n">
        <v>0.003929273084479371</v>
      </c>
      <c r="R9" s="13" t="n">
        <v>0.009430255402750491</v>
      </c>
      <c r="S9" s="13" t="n">
        <v>0.007072691552062868</v>
      </c>
    </row>
    <row r="10">
      <c r="A10" s="10" t="inlineStr">
        <is>
          <t>2020</t>
        </is>
      </c>
      <c r="B10" s="11" t="n">
        <v>4378</v>
      </c>
      <c r="C10" s="11" t="n">
        <v>20</v>
      </c>
      <c r="D10" s="11" t="n">
        <v>62</v>
      </c>
      <c r="E10" s="11" t="n">
        <v>62</v>
      </c>
      <c r="F10" s="11" t="n">
        <v>23</v>
      </c>
      <c r="G10" s="11" t="n">
        <v>10</v>
      </c>
      <c r="H10" s="11" t="n">
        <v>23</v>
      </c>
      <c r="I10" s="11" t="n">
        <v>51</v>
      </c>
      <c r="J10" s="11" t="n">
        <v>26</v>
      </c>
      <c r="K10" s="12" t="n">
        <v>0.323</v>
      </c>
      <c r="L10" s="13" t="n">
        <v>0.004568296025582457</v>
      </c>
      <c r="M10" s="13" t="n">
        <v>0.01416171767930562</v>
      </c>
      <c r="N10" s="13" t="n">
        <v>0.01416171767930562</v>
      </c>
      <c r="O10" s="13" t="n">
        <v>0.005253540429419826</v>
      </c>
      <c r="P10" s="13" t="n">
        <v>0.002284148012791229</v>
      </c>
      <c r="Q10" s="13" t="n">
        <v>0.005253540429419826</v>
      </c>
      <c r="R10" s="13" t="n">
        <v>0.01164915486523527</v>
      </c>
      <c r="S10" s="13" t="n">
        <v>0.005938784833257195</v>
      </c>
    </row>
    <row r="11">
      <c r="A11" s="10" t="inlineStr">
        <is>
          <t>2019</t>
        </is>
      </c>
      <c r="B11" s="11" t="n">
        <v>4659</v>
      </c>
      <c r="C11" s="11" t="n">
        <v>24</v>
      </c>
      <c r="D11" s="11" t="n">
        <v>52</v>
      </c>
      <c r="E11" s="11" t="n">
        <v>69</v>
      </c>
      <c r="F11" s="11" t="n">
        <v>30</v>
      </c>
      <c r="G11" s="11" t="n">
        <v>10</v>
      </c>
      <c r="H11" s="11" t="n">
        <v>22</v>
      </c>
      <c r="I11" s="11" t="n">
        <v>44</v>
      </c>
      <c r="J11" s="11" t="n">
        <v>31</v>
      </c>
      <c r="K11" s="12" t="n">
        <v>0.462</v>
      </c>
      <c r="L11" s="13" t="n">
        <v>0.0051513200257566</v>
      </c>
      <c r="M11" s="13" t="n">
        <v>0.0111611933891393</v>
      </c>
      <c r="N11" s="13" t="n">
        <v>0.01481004507405023</v>
      </c>
      <c r="O11" s="13" t="n">
        <v>0.00643915003219575</v>
      </c>
      <c r="P11" s="13" t="n">
        <v>0.00214638334406525</v>
      </c>
      <c r="Q11" s="13" t="n">
        <v>0.00472204335694355</v>
      </c>
      <c r="R11" s="13" t="n">
        <v>0.0094440867138871</v>
      </c>
      <c r="S11" s="13" t="n">
        <v>0.006653788366602275</v>
      </c>
    </row>
    <row r="12">
      <c r="A12" s="10" t="inlineStr">
        <is>
          <t>2018</t>
        </is>
      </c>
      <c r="B12" s="11" t="n">
        <v>8092</v>
      </c>
      <c r="C12" s="11" t="n">
        <v>59</v>
      </c>
      <c r="D12" s="11" t="n">
        <v>90</v>
      </c>
      <c r="E12" s="11" t="n">
        <v>123</v>
      </c>
      <c r="F12" s="11" t="n">
        <v>61</v>
      </c>
      <c r="G12" s="11" t="n">
        <v>27</v>
      </c>
      <c r="H12" s="11" t="n">
        <v>49</v>
      </c>
      <c r="I12" s="11" t="n">
        <v>64</v>
      </c>
      <c r="J12" s="11" t="n">
        <v>39</v>
      </c>
      <c r="K12" s="12" t="n">
        <v>0.656</v>
      </c>
      <c r="L12" s="13" t="n">
        <v>0.007291151754819575</v>
      </c>
      <c r="M12" s="13" t="n">
        <v>0.0111220958971824</v>
      </c>
      <c r="N12" s="13" t="n">
        <v>0.01520019772614928</v>
      </c>
      <c r="O12" s="13" t="n">
        <v>0.007538309441423629</v>
      </c>
      <c r="P12" s="13" t="n">
        <v>0.003336628769154721</v>
      </c>
      <c r="Q12" s="13" t="n">
        <v>0.006055363321799308</v>
      </c>
      <c r="R12" s="13" t="n">
        <v>0.007909045971329708</v>
      </c>
      <c r="S12" s="13" t="n">
        <v>0.004819574888779041</v>
      </c>
    </row>
    <row r="13">
      <c r="A13" s="10" t="inlineStr">
        <is>
          <t>2017</t>
        </is>
      </c>
      <c r="B13" s="11" t="n">
        <v>8461</v>
      </c>
      <c r="C13" s="11" t="n">
        <v>46</v>
      </c>
      <c r="D13" s="11" t="n">
        <v>117</v>
      </c>
      <c r="E13" s="11" t="n">
        <v>132</v>
      </c>
      <c r="F13" s="11" t="n">
        <v>60</v>
      </c>
      <c r="G13" s="11" t="n">
        <v>31</v>
      </c>
      <c r="H13" s="11" t="n">
        <v>49</v>
      </c>
      <c r="I13" s="11" t="n">
        <v>68</v>
      </c>
      <c r="J13" s="11" t="n">
        <v>36</v>
      </c>
      <c r="K13" s="12" t="n">
        <v>0.393</v>
      </c>
      <c r="L13" s="13" t="n">
        <v>0.005436709608793287</v>
      </c>
      <c r="M13" s="13" t="n">
        <v>0.0138281527006264</v>
      </c>
      <c r="N13" s="13" t="n">
        <v>0.0156009927904503</v>
      </c>
      <c r="O13" s="13" t="n">
        <v>0.007091360359295591</v>
      </c>
      <c r="P13" s="13" t="n">
        <v>0.003663869518969389</v>
      </c>
      <c r="Q13" s="13" t="n">
        <v>0.005791277626758067</v>
      </c>
      <c r="R13" s="13" t="n">
        <v>0.008036875073868337</v>
      </c>
      <c r="S13" s="13" t="n">
        <v>0.004254816215577355</v>
      </c>
    </row>
    <row r="14">
      <c r="A14" s="10" t="inlineStr">
        <is>
          <t>2016</t>
        </is>
      </c>
      <c r="B14" s="11" t="n">
        <v>8274</v>
      </c>
      <c r="C14" s="11" t="n">
        <v>51</v>
      </c>
      <c r="D14" s="11" t="n">
        <v>114</v>
      </c>
      <c r="E14" s="11" t="n">
        <v>126</v>
      </c>
      <c r="F14" s="11" t="n">
        <v>65</v>
      </c>
      <c r="G14" s="11" t="n">
        <v>24</v>
      </c>
      <c r="H14" s="11" t="n">
        <v>42</v>
      </c>
      <c r="I14" s="11" t="n">
        <v>65</v>
      </c>
      <c r="J14" s="11" t="n">
        <v>40</v>
      </c>
      <c r="K14" s="12" t="n">
        <v>0.447</v>
      </c>
      <c r="L14" s="13" t="n">
        <v>0.006163886874546773</v>
      </c>
      <c r="M14" s="13" t="n">
        <v>0.01377810007251632</v>
      </c>
      <c r="N14" s="13" t="n">
        <v>0.01522842639593909</v>
      </c>
      <c r="O14" s="13" t="n">
        <v>0.007855934251873338</v>
      </c>
      <c r="P14" s="13" t="n">
        <v>0.00290065264684554</v>
      </c>
      <c r="Q14" s="13" t="n">
        <v>0.005076142131979695</v>
      </c>
      <c r="R14" s="13" t="n">
        <v>0.007855934251873338</v>
      </c>
      <c r="S14" s="13" t="n">
        <v>0.0048344210780759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16" customWidth="1" min="4" max="4"/>
    <col width="16" customWidth="1" min="5" max="5"/>
    <col width="19" customWidth="1" min="6" max="6"/>
  </cols>
  <sheetData>
    <row r="1">
      <c r="A1" s="1" t="inlineStr">
        <is>
          <t>APPLE INC. - HISTORICAL STOCK PRICE ANALYSIS</t>
        </is>
      </c>
    </row>
    <row r="2">
      <c r="A2" s="2" t="inlineStr">
        <is>
          <t>Price Type: Split-Adjusted Closing Price (Close) | Source: Yahoo Finance (yfinance)</t>
        </is>
      </c>
    </row>
    <row r="4">
      <c r="A4" s="9" t="inlineStr">
        <is>
          <t>Fiscal Year</t>
        </is>
      </c>
      <c r="B4" s="9" t="inlineStr">
        <is>
          <t>Balance Sheet Date</t>
        </is>
      </c>
      <c r="C4" s="9" t="inlineStr">
        <is>
          <t>Trading Date Used</t>
        </is>
      </c>
      <c r="D4" s="4" t="inlineStr">
        <is>
          <t>Stock Price</t>
        </is>
      </c>
      <c r="E4" s="9" t="inlineStr">
        <is>
          <t>Source</t>
        </is>
      </c>
      <c r="F4" s="3" t="inlineStr">
        <is>
          <t>Date Adjustment</t>
        </is>
      </c>
    </row>
    <row r="5">
      <c r="A5" s="10" t="inlineStr">
        <is>
          <t>2025</t>
        </is>
      </c>
      <c r="B5" s="10" t="inlineStr">
        <is>
          <t>2025-09-27</t>
        </is>
      </c>
      <c r="C5" s="10" t="inlineStr">
        <is>
          <t>2025-09-26</t>
        </is>
      </c>
      <c r="D5" s="14" t="n">
        <v>255.46</v>
      </c>
      <c r="E5" s="10" t="inlineStr">
        <is>
          <t>Yahoo Finance</t>
        </is>
      </c>
      <c r="F5" s="15" t="inlineStr">
        <is>
          <t>Previous trading day</t>
        </is>
      </c>
    </row>
    <row r="6">
      <c r="A6" s="10" t="inlineStr">
        <is>
          <t>2024</t>
        </is>
      </c>
      <c r="B6" s="10" t="inlineStr">
        <is>
          <t>2024-09-28</t>
        </is>
      </c>
      <c r="C6" s="10" t="inlineStr">
        <is>
          <t>2024-09-27</t>
        </is>
      </c>
      <c r="D6" s="14" t="n">
        <v>227.79</v>
      </c>
      <c r="E6" s="10" t="inlineStr">
        <is>
          <t>Yahoo Finance</t>
        </is>
      </c>
      <c r="F6" s="15" t="inlineStr">
        <is>
          <t>Previous trading day</t>
        </is>
      </c>
    </row>
    <row r="7">
      <c r="A7" s="10" t="inlineStr">
        <is>
          <t>2023</t>
        </is>
      </c>
      <c r="B7" s="10" t="inlineStr">
        <is>
          <t>2023-09-30</t>
        </is>
      </c>
      <c r="C7" s="10" t="inlineStr">
        <is>
          <t>2023-09-29</t>
        </is>
      </c>
      <c r="D7" s="14" t="n">
        <v>171.21</v>
      </c>
      <c r="E7" s="10" t="inlineStr">
        <is>
          <t>Yahoo Finance</t>
        </is>
      </c>
      <c r="F7" s="15" t="inlineStr">
        <is>
          <t>Previous trading day</t>
        </is>
      </c>
    </row>
    <row r="8">
      <c r="A8" s="10" t="inlineStr">
        <is>
          <t>2022</t>
        </is>
      </c>
      <c r="B8" s="10" t="inlineStr">
        <is>
          <t>2022-09-24</t>
        </is>
      </c>
      <c r="C8" s="10" t="inlineStr">
        <is>
          <t>2022-09-23</t>
        </is>
      </c>
      <c r="D8" s="14" t="n">
        <v>150.43</v>
      </c>
      <c r="E8" s="10" t="inlineStr">
        <is>
          <t>Yahoo Finance</t>
        </is>
      </c>
      <c r="F8" s="15" t="inlineStr">
        <is>
          <t>Previous trading day</t>
        </is>
      </c>
    </row>
    <row r="9">
      <c r="A9" s="10" t="inlineStr">
        <is>
          <t>2021</t>
        </is>
      </c>
      <c r="B9" s="10" t="inlineStr">
        <is>
          <t>2021-09-25</t>
        </is>
      </c>
      <c r="C9" s="10" t="inlineStr">
        <is>
          <t>2021-09-24</t>
        </is>
      </c>
      <c r="D9" s="14" t="n">
        <v>146.92</v>
      </c>
      <c r="E9" s="10" t="inlineStr">
        <is>
          <t>Yahoo Finance</t>
        </is>
      </c>
      <c r="F9" s="15" t="inlineStr">
        <is>
          <t>Previous trading day</t>
        </is>
      </c>
    </row>
    <row r="10">
      <c r="A10" s="10" t="inlineStr">
        <is>
          <t>2020</t>
        </is>
      </c>
      <c r="B10" s="10" t="inlineStr">
        <is>
          <t>2020-09-26</t>
        </is>
      </c>
      <c r="C10" s="10" t="inlineStr">
        <is>
          <t>2020-09-25</t>
        </is>
      </c>
      <c r="D10" s="14" t="n">
        <v>112.28</v>
      </c>
      <c r="E10" s="10" t="inlineStr">
        <is>
          <t>Yahoo Finance</t>
        </is>
      </c>
      <c r="F10" s="15" t="inlineStr">
        <is>
          <t>Previous trading day</t>
        </is>
      </c>
    </row>
    <row r="11">
      <c r="A11" s="10" t="inlineStr">
        <is>
          <t>2019</t>
        </is>
      </c>
      <c r="B11" s="10" t="inlineStr">
        <is>
          <t>2019-09-28</t>
        </is>
      </c>
      <c r="C11" s="10" t="inlineStr">
        <is>
          <t>2019-09-27</t>
        </is>
      </c>
      <c r="D11" s="14" t="n">
        <v>54.71</v>
      </c>
      <c r="E11" s="10" t="inlineStr">
        <is>
          <t>Yahoo Finance</t>
        </is>
      </c>
      <c r="F11" s="15" t="inlineStr">
        <is>
          <t>Previous trading day</t>
        </is>
      </c>
    </row>
    <row r="12">
      <c r="A12" s="10" t="inlineStr">
        <is>
          <t>2018</t>
        </is>
      </c>
      <c r="B12" s="10" t="inlineStr">
        <is>
          <t>2018-09-29</t>
        </is>
      </c>
      <c r="C12" s="10" t="inlineStr">
        <is>
          <t>2018-09-28</t>
        </is>
      </c>
      <c r="D12" s="14" t="n">
        <v>56.44</v>
      </c>
      <c r="E12" s="10" t="inlineStr">
        <is>
          <t>Yahoo Finance</t>
        </is>
      </c>
      <c r="F12" s="15" t="inlineStr">
        <is>
          <t>Previous trading day</t>
        </is>
      </c>
    </row>
    <row r="13">
      <c r="A13" s="10" t="inlineStr">
        <is>
          <t>2017</t>
        </is>
      </c>
      <c r="B13" s="10" t="inlineStr">
        <is>
          <t>2017-09-30</t>
        </is>
      </c>
      <c r="C13" s="10" t="inlineStr">
        <is>
          <t>2017-09-29</t>
        </is>
      </c>
      <c r="D13" s="14" t="n">
        <v>38.53</v>
      </c>
      <c r="E13" s="10" t="inlineStr">
        <is>
          <t>Yahoo Finance</t>
        </is>
      </c>
      <c r="F13" s="15" t="inlineStr">
        <is>
          <t>Previous trading day</t>
        </is>
      </c>
    </row>
    <row r="14">
      <c r="A14" s="10" t="inlineStr">
        <is>
          <t>2016</t>
        </is>
      </c>
      <c r="B14" s="10" t="inlineStr">
        <is>
          <t>2016-09-24</t>
        </is>
      </c>
      <c r="C14" s="10" t="inlineStr">
        <is>
          <t>2016-09-23</t>
        </is>
      </c>
      <c r="D14" s="14" t="n">
        <v>28.18</v>
      </c>
      <c r="E14" s="10" t="inlineStr">
        <is>
          <t>Yahoo Finance</t>
        </is>
      </c>
      <c r="F14" s="15" t="inlineStr">
        <is>
          <t>Previous trading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23" customWidth="1" min="4" max="4"/>
    <col width="20" customWidth="1" min="5" max="5"/>
    <col width="19" customWidth="1" min="6" max="6"/>
    <col width="17" customWidth="1" min="7" max="7"/>
    <col width="17" customWidth="1" min="8" max="8"/>
    <col width="20" customWidth="1" min="9" max="9"/>
    <col width="18" customWidth="1" min="10" max="10"/>
    <col width="21" customWidth="1" min="11" max="11"/>
    <col width="19" customWidth="1" min="12" max="12"/>
    <col width="21" customWidth="1" min="13" max="13"/>
    <col width="19" customWidth="1" min="14" max="14"/>
    <col width="15" customWidth="1" min="15" max="15"/>
    <col width="15" customWidth="1" min="16" max="16"/>
    <col width="22" customWidth="1" min="18" max="18"/>
    <col width="16" customWidth="1" min="19" max="19"/>
    <col width="62" customWidth="1" min="20" max="20"/>
  </cols>
  <sheetData>
    <row r="1">
      <c r="A1" s="1" t="inlineStr">
        <is>
          <t>APPLE INC. (AAPL) — FINANCIAL RATIOS, SENTIMENT &amp; STOCK PRICE ANALYSIS</t>
        </is>
      </c>
    </row>
    <row r="2">
      <c r="A2" s="2" t="inlineStr">
        <is>
          <t>Fiscal Years 2016 – 2025 (Chronological Order) | Unified Valuation &amp; Sentiment Modeling</t>
        </is>
      </c>
    </row>
    <row r="3">
      <c r="R3" s="16" t="inlineStr">
        <is>
          <t>RATIO FORMULAS &amp; WHAT THEY MEASURE</t>
        </is>
      </c>
    </row>
    <row r="4">
      <c r="A4" s="17" t="inlineStr">
        <is>
          <t>Fiscal Year</t>
        </is>
      </c>
      <c r="B4" s="17" t="inlineStr">
        <is>
          <t>Current Ratio</t>
        </is>
      </c>
      <c r="C4" s="17" t="inlineStr">
        <is>
          <t>Debt-to-Assets Ratio</t>
        </is>
      </c>
      <c r="D4" s="17" t="inlineStr">
        <is>
          <t>Total Asset Turnover</t>
        </is>
      </c>
      <c r="E4" s="17" t="inlineStr">
        <is>
          <t>Net Profit Margin</t>
        </is>
      </c>
      <c r="F4" s="17" t="inlineStr">
        <is>
          <t>Total Word Count</t>
        </is>
      </c>
      <c r="G4" s="17" t="inlineStr">
        <is>
          <t>Positive Words</t>
        </is>
      </c>
      <c r="H4" s="17" t="inlineStr">
        <is>
          <t>Negative Words</t>
        </is>
      </c>
      <c r="I4" s="17" t="inlineStr">
        <is>
          <t>Uncertainty Words</t>
        </is>
      </c>
      <c r="J4" s="17" t="inlineStr">
        <is>
          <t>Litigious Words</t>
        </is>
      </c>
      <c r="K4" s="17" t="inlineStr">
        <is>
          <t>Strong Modal Words</t>
        </is>
      </c>
      <c r="L4" s="17" t="inlineStr">
        <is>
          <t>Weak Modal Words</t>
        </is>
      </c>
      <c r="M4" s="17" t="inlineStr">
        <is>
          <t>Constraining Words</t>
        </is>
      </c>
      <c r="N4" s="17" t="inlineStr">
        <is>
          <t>Complexity Words</t>
        </is>
      </c>
      <c r="O4" s="17" t="inlineStr">
        <is>
          <t>P/N Ratio</t>
        </is>
      </c>
      <c r="P4" s="17" t="inlineStr">
        <is>
          <t>Stock Price</t>
        </is>
      </c>
      <c r="R4" s="9" t="inlineStr">
        <is>
          <t>Ratio</t>
        </is>
      </c>
      <c r="S4" s="9" t="inlineStr">
        <is>
          <t>Measures</t>
        </is>
      </c>
      <c r="T4" s="9" t="inlineStr">
        <is>
          <t>Formula</t>
        </is>
      </c>
    </row>
    <row r="5">
      <c r="A5" s="18" t="n">
        <v>2016</v>
      </c>
      <c r="B5" s="19" t="n">
        <v>1.352669417512594</v>
      </c>
      <c r="C5" s="20" t="n">
        <v>0.6013224075651412</v>
      </c>
      <c r="D5" s="19" t="n">
        <v>0.704666920466447</v>
      </c>
      <c r="E5" s="20" t="n">
        <v>0.211867983064288</v>
      </c>
      <c r="F5" s="21" t="n">
        <v>8274</v>
      </c>
      <c r="G5" s="21" t="n">
        <v>51</v>
      </c>
      <c r="H5" s="21" t="n">
        <v>114</v>
      </c>
      <c r="I5" s="21" t="n">
        <v>126</v>
      </c>
      <c r="J5" s="21" t="n">
        <v>65</v>
      </c>
      <c r="K5" s="21" t="n">
        <v>24</v>
      </c>
      <c r="L5" s="21" t="n">
        <v>42</v>
      </c>
      <c r="M5" s="21" t="n">
        <v>65</v>
      </c>
      <c r="N5" s="21" t="n">
        <v>40</v>
      </c>
      <c r="O5" s="19" t="n">
        <v>0.447</v>
      </c>
      <c r="P5" s="22" t="n">
        <v>28.18</v>
      </c>
      <c r="R5" s="23" t="inlineStr">
        <is>
          <t>Current Ratio</t>
        </is>
      </c>
      <c r="S5" s="23" t="inlineStr">
        <is>
          <t>Liquidity</t>
        </is>
      </c>
      <c r="T5" s="23" t="inlineStr">
        <is>
          <t>Current Assets / Current Liabilities</t>
        </is>
      </c>
    </row>
    <row r="6">
      <c r="A6" s="18" t="n">
        <v>2017</v>
      </c>
      <c r="B6" s="19" t="n">
        <v>1.276062848413911</v>
      </c>
      <c r="C6" s="20" t="n">
        <v>0.6428451530564666</v>
      </c>
      <c r="D6" s="19" t="n">
        <v>0.6577685956341777</v>
      </c>
      <c r="E6" s="20" t="n">
        <v>0.2109242084507534</v>
      </c>
      <c r="F6" s="21" t="n">
        <v>8461</v>
      </c>
      <c r="G6" s="21" t="n">
        <v>46</v>
      </c>
      <c r="H6" s="21" t="n">
        <v>117</v>
      </c>
      <c r="I6" s="21" t="n">
        <v>132</v>
      </c>
      <c r="J6" s="21" t="n">
        <v>60</v>
      </c>
      <c r="K6" s="21" t="n">
        <v>31</v>
      </c>
      <c r="L6" s="21" t="n">
        <v>49</v>
      </c>
      <c r="M6" s="21" t="n">
        <v>68</v>
      </c>
      <c r="N6" s="21" t="n">
        <v>36</v>
      </c>
      <c r="O6" s="19" t="n">
        <v>0.393</v>
      </c>
      <c r="P6" s="22" t="n">
        <v>38.53</v>
      </c>
      <c r="R6" s="23" t="inlineStr">
        <is>
          <t>Debt-to-Assets</t>
        </is>
      </c>
      <c r="S6" s="23" t="inlineStr">
        <is>
          <t>Solvency</t>
        </is>
      </c>
      <c r="T6" s="23" t="inlineStr">
        <is>
          <t>Total Liabilities / Total Assets</t>
        </is>
      </c>
    </row>
    <row r="7">
      <c r="A7" s="18" t="n">
        <v>2018</v>
      </c>
      <c r="B7" s="19" t="n">
        <v>1.132926187580329</v>
      </c>
      <c r="C7" s="20" t="n">
        <v>0.7070285050242668</v>
      </c>
      <c r="D7" s="19" t="n">
        <v>0.7168130367427575</v>
      </c>
      <c r="E7" s="20" t="n">
        <v>0.2241420207458725</v>
      </c>
      <c r="F7" s="21" t="n">
        <v>8092</v>
      </c>
      <c r="G7" s="21" t="n">
        <v>59</v>
      </c>
      <c r="H7" s="21" t="n">
        <v>90</v>
      </c>
      <c r="I7" s="21" t="n">
        <v>123</v>
      </c>
      <c r="J7" s="21" t="n">
        <v>61</v>
      </c>
      <c r="K7" s="21" t="n">
        <v>27</v>
      </c>
      <c r="L7" s="21" t="n">
        <v>49</v>
      </c>
      <c r="M7" s="21" t="n">
        <v>64</v>
      </c>
      <c r="N7" s="21" t="n">
        <v>39</v>
      </c>
      <c r="O7" s="19" t="n">
        <v>0.656</v>
      </c>
      <c r="P7" s="22" t="n">
        <v>56.44</v>
      </c>
      <c r="R7" s="23" t="inlineStr">
        <is>
          <t>Total Asset Turnover</t>
        </is>
      </c>
      <c r="S7" s="23" t="inlineStr">
        <is>
          <t>Efficiency</t>
        </is>
      </c>
      <c r="T7" s="23" t="inlineStr">
        <is>
          <t>Revenue / Average Total Assets</t>
        </is>
      </c>
    </row>
    <row r="8">
      <c r="A8" s="18" t="n">
        <v>2019</v>
      </c>
      <c r="B8" s="19" t="n">
        <v>1.540125617208044</v>
      </c>
      <c r="C8" s="20" t="n">
        <v>0.7326921031797611</v>
      </c>
      <c r="D8" s="19" t="n">
        <v>0.7388777421365698</v>
      </c>
      <c r="E8" s="20" t="n">
        <v>0.2123809450598446</v>
      </c>
      <c r="F8" s="21" t="n">
        <v>4659</v>
      </c>
      <c r="G8" s="21" t="n">
        <v>24</v>
      </c>
      <c r="H8" s="21" t="n">
        <v>52</v>
      </c>
      <c r="I8" s="21" t="n">
        <v>69</v>
      </c>
      <c r="J8" s="21" t="n">
        <v>30</v>
      </c>
      <c r="K8" s="21" t="n">
        <v>10</v>
      </c>
      <c r="L8" s="21" t="n">
        <v>22</v>
      </c>
      <c r="M8" s="21" t="n">
        <v>44</v>
      </c>
      <c r="N8" s="21" t="n">
        <v>31</v>
      </c>
      <c r="O8" s="19" t="n">
        <v>0.462</v>
      </c>
      <c r="P8" s="22" t="n">
        <v>54.71</v>
      </c>
      <c r="R8" s="23" t="inlineStr">
        <is>
          <t>Average Total Assets</t>
        </is>
      </c>
      <c r="S8" s="23" t="inlineStr">
        <is>
          <t>(input)</t>
        </is>
      </c>
      <c r="T8" s="23" t="inlineStr">
        <is>
          <t>(Beginning Total Assets + Ending Total Assets) / 2</t>
        </is>
      </c>
    </row>
    <row r="9">
      <c r="A9" s="18" t="n">
        <v>2020</v>
      </c>
      <c r="B9" s="19" t="n">
        <v>1.363604448155458</v>
      </c>
      <c r="C9" s="20" t="n">
        <v>0.7982666847799239</v>
      </c>
      <c r="D9" s="19" t="n">
        <v>0.8288446325807212</v>
      </c>
      <c r="E9" s="20" t="n">
        <v>0.2091361127807224</v>
      </c>
      <c r="F9" s="21" t="n">
        <v>4378</v>
      </c>
      <c r="G9" s="21" t="n">
        <v>20</v>
      </c>
      <c r="H9" s="21" t="n">
        <v>62</v>
      </c>
      <c r="I9" s="21" t="n">
        <v>62</v>
      </c>
      <c r="J9" s="21" t="n">
        <v>23</v>
      </c>
      <c r="K9" s="21" t="n">
        <v>10</v>
      </c>
      <c r="L9" s="21" t="n">
        <v>23</v>
      </c>
      <c r="M9" s="21" t="n">
        <v>51</v>
      </c>
      <c r="N9" s="21" t="n">
        <v>26</v>
      </c>
      <c r="O9" s="19" t="n">
        <v>0.323</v>
      </c>
      <c r="P9" s="22" t="n">
        <v>112.28</v>
      </c>
      <c r="R9" s="23" t="inlineStr">
        <is>
          <t>Net Profit Margin</t>
        </is>
      </c>
      <c r="S9" s="23" t="inlineStr">
        <is>
          <t>Profitability</t>
        </is>
      </c>
      <c r="T9" s="23" t="inlineStr">
        <is>
          <t>Net Income / Revenue</t>
        </is>
      </c>
    </row>
    <row r="10">
      <c r="A10" s="18" t="n">
        <v>2021</v>
      </c>
      <c r="B10" s="19" t="n">
        <v>1.074553119595795</v>
      </c>
      <c r="C10" s="20" t="n">
        <v>0.8202574344305731</v>
      </c>
      <c r="D10" s="19" t="n">
        <v>1.084078886929722</v>
      </c>
      <c r="E10" s="20" t="n">
        <v>0.2588179335569424</v>
      </c>
      <c r="F10" s="21" t="n">
        <v>2545</v>
      </c>
      <c r="G10" s="21" t="n">
        <v>25</v>
      </c>
      <c r="H10" s="21" t="n">
        <v>18</v>
      </c>
      <c r="I10" s="21" t="n">
        <v>31</v>
      </c>
      <c r="J10" s="21" t="n">
        <v>14</v>
      </c>
      <c r="K10" s="21" t="n">
        <v>5</v>
      </c>
      <c r="L10" s="21" t="n">
        <v>10</v>
      </c>
      <c r="M10" s="21" t="n">
        <v>24</v>
      </c>
      <c r="N10" s="21" t="n">
        <v>18</v>
      </c>
      <c r="O10" s="19" t="n">
        <v>1.389</v>
      </c>
      <c r="P10" s="22" t="n">
        <v>146.92</v>
      </c>
      <c r="R10" s="23" t="inlineStr">
        <is>
          <t>P/N Ratio</t>
        </is>
      </c>
      <c r="S10" s="23" t="inlineStr">
        <is>
          <t>MD&amp;A Sentiment</t>
        </is>
      </c>
      <c r="T10" s="23" t="inlineStr">
        <is>
          <t>Loughran-McDonald Positive Words / Negative Words</t>
        </is>
      </c>
    </row>
    <row r="11">
      <c r="A11" s="18" t="n">
        <v>2022</v>
      </c>
      <c r="B11" s="19" t="n">
        <v>0.8793560286267226</v>
      </c>
      <c r="C11" s="20" t="n">
        <v>0.8563535598361469</v>
      </c>
      <c r="D11" s="19" t="n">
        <v>1.120636810717336</v>
      </c>
      <c r="E11" s="20" t="n">
        <v>0.2530964070519973</v>
      </c>
      <c r="F11" s="21" t="n">
        <v>2362</v>
      </c>
      <c r="G11" s="21" t="n">
        <v>20</v>
      </c>
      <c r="H11" s="21" t="n">
        <v>28</v>
      </c>
      <c r="I11" s="21" t="n">
        <v>25</v>
      </c>
      <c r="J11" s="21" t="n">
        <v>13</v>
      </c>
      <c r="K11" s="21" t="n">
        <v>3</v>
      </c>
      <c r="L11" s="21" t="n">
        <v>8</v>
      </c>
      <c r="M11" s="21" t="n">
        <v>21</v>
      </c>
      <c r="N11" s="21" t="n">
        <v>12</v>
      </c>
      <c r="O11" s="19" t="n">
        <v>0.714</v>
      </c>
      <c r="P11" s="22" t="n">
        <v>150.43</v>
      </c>
      <c r="R11" s="23" t="inlineStr">
        <is>
          <t>Stock Price</t>
        </is>
      </c>
      <c r="S11" s="23" t="inlineStr">
        <is>
          <t>Market Value</t>
        </is>
      </c>
      <c r="T11" s="23" t="inlineStr">
        <is>
          <t>Split-adjusted close on the balance sheet date (or prior trading day)</t>
        </is>
      </c>
    </row>
    <row r="12">
      <c r="A12" s="18" t="n">
        <v>2023</v>
      </c>
      <c r="B12" s="19" t="n">
        <v>0.9880116717592975</v>
      </c>
      <c r="C12" s="20" t="n">
        <v>0.8237407929480435</v>
      </c>
      <c r="D12" s="19" t="n">
        <v>1.086812280069981</v>
      </c>
      <c r="E12" s="20" t="n">
        <v>0.2530623426432028</v>
      </c>
      <c r="F12" s="21" t="n">
        <v>2083</v>
      </c>
      <c r="G12" s="21" t="n">
        <v>11</v>
      </c>
      <c r="H12" s="21" t="n">
        <v>18</v>
      </c>
      <c r="I12" s="21" t="n">
        <v>23</v>
      </c>
      <c r="J12" s="21" t="n">
        <v>13</v>
      </c>
      <c r="K12" s="21" t="n">
        <v>3</v>
      </c>
      <c r="L12" s="21" t="n">
        <v>8</v>
      </c>
      <c r="M12" s="21" t="n">
        <v>20</v>
      </c>
      <c r="N12" s="21" t="n">
        <v>6</v>
      </c>
      <c r="O12" s="19" t="n">
        <v>0.611</v>
      </c>
      <c r="P12" s="22" t="n">
        <v>171.21</v>
      </c>
    </row>
    <row r="13">
      <c r="A13" s="18" t="n">
        <v>2024</v>
      </c>
      <c r="B13" s="19" t="n">
        <v>0.8673125765340832</v>
      </c>
      <c r="C13" s="20" t="n">
        <v>0.8439640528248123</v>
      </c>
      <c r="D13" s="19" t="n">
        <v>1.08989733305647</v>
      </c>
      <c r="E13" s="20" t="n">
        <v>0.2397125576994387</v>
      </c>
      <c r="F13" s="21" t="n">
        <v>2033</v>
      </c>
      <c r="G13" s="21" t="n">
        <v>13</v>
      </c>
      <c r="H13" s="21" t="n">
        <v>19</v>
      </c>
      <c r="I13" s="21" t="n">
        <v>22</v>
      </c>
      <c r="J13" s="21" t="n">
        <v>13</v>
      </c>
      <c r="K13" s="21" t="n">
        <v>9</v>
      </c>
      <c r="L13" s="21" t="n">
        <v>8</v>
      </c>
      <c r="M13" s="21" t="n">
        <v>27</v>
      </c>
      <c r="N13" s="21" t="n">
        <v>6</v>
      </c>
      <c r="O13" s="19" t="n">
        <v>0.6840000000000001</v>
      </c>
      <c r="P13" s="22" t="n">
        <v>227.79</v>
      </c>
      <c r="R13" s="24" t="inlineStr">
        <is>
          <t>Beginning Total Assets for the oldest year come from the comparative balance sheet in the oldest 10-K. N/A or blank = data not available (never treated as zero).</t>
        </is>
      </c>
    </row>
    <row r="14">
      <c r="A14" s="18" t="n">
        <v>2025</v>
      </c>
      <c r="B14" s="19" t="n">
        <v>0.8932929222186667</v>
      </c>
      <c r="C14" s="20" t="n">
        <v>0.7947533828265705</v>
      </c>
      <c r="D14" s="19" t="n">
        <v>1.149265210481331</v>
      </c>
      <c r="E14" s="20" t="n">
        <v>0.2691506412181824</v>
      </c>
      <c r="F14" s="21" t="n">
        <v>2396</v>
      </c>
      <c r="G14" s="21" t="n">
        <v>17</v>
      </c>
      <c r="H14" s="21" t="n">
        <v>22</v>
      </c>
      <c r="I14" s="21" t="n">
        <v>30</v>
      </c>
      <c r="J14" s="21" t="n">
        <v>14</v>
      </c>
      <c r="K14" s="21" t="n">
        <v>12</v>
      </c>
      <c r="L14" s="21" t="n">
        <v>12</v>
      </c>
      <c r="M14" s="21" t="n">
        <v>30</v>
      </c>
      <c r="N14" s="21" t="n">
        <v>9</v>
      </c>
      <c r="O14" s="19" t="n">
        <v>0.773</v>
      </c>
      <c r="P14" s="22" t="n">
        <v>255.46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2026-10-31T22:00:33Z</dcterms:created>
  <dcterms:modified xmlns:dcterms="http://purl.org/dc/terms/" xmlns:xsi="http://www.w3.org/2001/XMLSchema-instance" xsi:type="dcterms:W3CDTF">2026-10-31T22:00:35Z</dcterms:modified>
</cp:coreProperties>
</file>